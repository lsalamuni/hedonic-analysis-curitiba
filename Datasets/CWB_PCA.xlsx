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30D73236C2440C1/Lucas Salamuni/Universidades/Universitat zu Koln/Semester 3/RG Econometrics/Proposal/Data/"/>
    </mc:Choice>
  </mc:AlternateContent>
  <xr:revisionPtr revIDLastSave="2" documentId="8_{69EF7205-E75B-414A-BF2D-43D691C99CE8}" xr6:coauthVersionLast="47" xr6:coauthVersionMax="47" xr10:uidLastSave="{1A049528-321D-4CE8-9E28-BBBE131B9071}"/>
  <bookViews>
    <workbookView xWindow="-110" yWindow="-110" windowWidth="25820" windowHeight="15500" activeTab="2" xr2:uid="{00000000-000D-0000-FFFF-FFFF00000000}"/>
  </bookViews>
  <sheets>
    <sheet name="Neighborhoods_75" sheetId="1" r:id="rId1"/>
    <sheet name="Indices" sheetId="2" r:id="rId2"/>
    <sheet name="Data" sheetId="4" r:id="rId3"/>
    <sheet name="Links_and_sources" sheetId="3" r:id="rId4"/>
  </sheets>
  <definedNames>
    <definedName name="_xlnm._FilterDatabase" localSheetId="1" hidden="1">Indices!$A$2:$Q$77</definedName>
    <definedName name="_xlnm._FilterDatabase" localSheetId="3" hidden="1">Links_and_sources!$A$1:$C$7</definedName>
    <definedName name="_xlnm._FilterDatabase" localSheetId="0" hidden="1">Neighborhoods_75!$A$1:$C$76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J76" i="4"/>
  <c r="F76" i="4"/>
  <c r="J75" i="4"/>
  <c r="F75" i="4"/>
  <c r="J74" i="4"/>
  <c r="F74" i="4"/>
  <c r="J73" i="4"/>
  <c r="F73" i="4"/>
  <c r="J72" i="4"/>
  <c r="F72" i="4"/>
  <c r="J71" i="4"/>
  <c r="F71" i="4"/>
  <c r="J70" i="4"/>
  <c r="F70" i="4"/>
  <c r="J69" i="4"/>
  <c r="F69" i="4"/>
  <c r="J68" i="4"/>
  <c r="F68" i="4"/>
  <c r="J67" i="4"/>
  <c r="F67" i="4"/>
  <c r="J66" i="4"/>
  <c r="F66" i="4"/>
  <c r="J65" i="4"/>
  <c r="F65" i="4"/>
  <c r="J64" i="4"/>
  <c r="F64" i="4"/>
  <c r="J63" i="4"/>
  <c r="F63" i="4"/>
  <c r="J62" i="4"/>
  <c r="F62" i="4"/>
  <c r="J61" i="4"/>
  <c r="F61" i="4"/>
  <c r="J60" i="4"/>
  <c r="F60" i="4"/>
  <c r="J59" i="4"/>
  <c r="F59" i="4"/>
  <c r="J58" i="4"/>
  <c r="F58" i="4"/>
  <c r="J57" i="4"/>
  <c r="F57" i="4"/>
  <c r="J56" i="4"/>
  <c r="F56" i="4"/>
  <c r="J55" i="4"/>
  <c r="F55" i="4"/>
  <c r="J54" i="4"/>
  <c r="F54" i="4"/>
  <c r="J53" i="4"/>
  <c r="F53" i="4"/>
  <c r="J52" i="4"/>
  <c r="F52" i="4"/>
  <c r="J51" i="4"/>
  <c r="F51" i="4"/>
  <c r="J50" i="4"/>
  <c r="F50" i="4"/>
  <c r="J49" i="4"/>
  <c r="F49" i="4"/>
  <c r="J48" i="4"/>
  <c r="F48" i="4"/>
  <c r="J47" i="4"/>
  <c r="F47" i="4"/>
  <c r="J46" i="4"/>
  <c r="F46" i="4"/>
  <c r="J45" i="4"/>
  <c r="F45" i="4"/>
  <c r="J44" i="4"/>
  <c r="F44" i="4"/>
  <c r="J43" i="4"/>
  <c r="F43" i="4"/>
  <c r="J42" i="4"/>
  <c r="F42" i="4"/>
  <c r="J41" i="4"/>
  <c r="F41" i="4"/>
  <c r="J40" i="4"/>
  <c r="F40" i="4"/>
  <c r="J39" i="4"/>
  <c r="F39" i="4"/>
  <c r="J38" i="4"/>
  <c r="F38" i="4"/>
  <c r="J37" i="4"/>
  <c r="F37" i="4"/>
  <c r="J36" i="4"/>
  <c r="F36" i="4"/>
  <c r="J35" i="4"/>
  <c r="F35" i="4"/>
  <c r="J34" i="4"/>
  <c r="F34" i="4"/>
  <c r="J33" i="4"/>
  <c r="F33" i="4"/>
  <c r="J32" i="4"/>
  <c r="F32" i="4"/>
  <c r="J31" i="4"/>
  <c r="F31" i="4"/>
  <c r="J30" i="4"/>
  <c r="F30" i="4"/>
  <c r="J29" i="4"/>
  <c r="F29" i="4"/>
  <c r="J28" i="4"/>
  <c r="F28" i="4"/>
  <c r="J27" i="4"/>
  <c r="F27" i="4"/>
  <c r="J26" i="4"/>
  <c r="F26" i="4"/>
  <c r="J25" i="4"/>
  <c r="F25" i="4"/>
  <c r="J24" i="4"/>
  <c r="F24" i="4"/>
  <c r="J23" i="4"/>
  <c r="F23" i="4"/>
  <c r="J22" i="4"/>
  <c r="F22" i="4"/>
  <c r="J21" i="4"/>
  <c r="F21" i="4"/>
  <c r="J20" i="4"/>
  <c r="F20" i="4"/>
  <c r="J19" i="4"/>
  <c r="F19" i="4"/>
  <c r="J18" i="4"/>
  <c r="F18" i="4"/>
  <c r="J17" i="4"/>
  <c r="F17" i="4"/>
  <c r="J16" i="4"/>
  <c r="F16" i="4"/>
  <c r="J15" i="4"/>
  <c r="F15" i="4"/>
  <c r="J14" i="4"/>
  <c r="F14" i="4"/>
  <c r="J13" i="4"/>
  <c r="F13" i="4"/>
  <c r="J12" i="4"/>
  <c r="F12" i="4"/>
  <c r="J11" i="4"/>
  <c r="F11" i="4"/>
  <c r="J10" i="4"/>
  <c r="F10" i="4"/>
  <c r="J9" i="4"/>
  <c r="F9" i="4"/>
  <c r="J8" i="4"/>
  <c r="F8" i="4"/>
  <c r="J7" i="4"/>
  <c r="F7" i="4"/>
  <c r="J6" i="4"/>
  <c r="F6" i="4"/>
  <c r="J5" i="4"/>
  <c r="F5" i="4"/>
  <c r="J4" i="4"/>
  <c r="F4" i="4"/>
  <c r="J3" i="4"/>
  <c r="F3" i="4"/>
  <c r="J2" i="4"/>
  <c r="F2" i="4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</calcChain>
</file>

<file path=xl/sharedStrings.xml><?xml version="1.0" encoding="utf-8"?>
<sst xmlns="http://schemas.openxmlformats.org/spreadsheetml/2006/main" count="449" uniqueCount="135">
  <si>
    <t>Bairro</t>
  </si>
  <si>
    <t>Regional</t>
  </si>
  <si>
    <t>Obs.</t>
  </si>
  <si>
    <t>Ahú</t>
  </si>
  <si>
    <t>Matriz</t>
  </si>
  <si>
    <t>Alto da Glória</t>
  </si>
  <si>
    <t>Alto da XV</t>
  </si>
  <si>
    <t>Batel</t>
  </si>
  <si>
    <t>Bigorrilho</t>
  </si>
  <si>
    <t>Bom Retiro</t>
  </si>
  <si>
    <t>Cabral</t>
  </si>
  <si>
    <t>Centro</t>
  </si>
  <si>
    <t>Centro Cívico</t>
  </si>
  <si>
    <t>Cristo Rei</t>
  </si>
  <si>
    <t>Hugo Lange</t>
  </si>
  <si>
    <t>Jardim Botânico</t>
  </si>
  <si>
    <t>Jardim Social</t>
  </si>
  <si>
    <t>Juvevê</t>
  </si>
  <si>
    <t>Mercês</t>
  </si>
  <si>
    <t>Prado Velho</t>
  </si>
  <si>
    <t>Rebouças</t>
  </si>
  <si>
    <t>São Francisco</t>
  </si>
  <si>
    <t>Abranches</t>
  </si>
  <si>
    <t>Boa Vista</t>
  </si>
  <si>
    <t>Atuba</t>
  </si>
  <si>
    <t>Bacacheri</t>
  </si>
  <si>
    <t>Bairro Alto</t>
  </si>
  <si>
    <t>Barreirinha</t>
  </si>
  <si>
    <t>Cachoeira</t>
  </si>
  <si>
    <t>Pilarzinho</t>
  </si>
  <si>
    <t>Santa Cândida</t>
  </si>
  <si>
    <t>São Lourenço</t>
  </si>
  <si>
    <t>Taboão</t>
  </si>
  <si>
    <t>Tingui</t>
  </si>
  <si>
    <t>Cajuru</t>
  </si>
  <si>
    <t>Capão da Imbuia</t>
  </si>
  <si>
    <t>Guabirotuba</t>
  </si>
  <si>
    <t>Jardim das Américas</t>
  </si>
  <si>
    <t>Uberaba</t>
  </si>
  <si>
    <t>Tarumã</t>
  </si>
  <si>
    <t>Alto Boqueirão</t>
  </si>
  <si>
    <t>Boqueirão</t>
  </si>
  <si>
    <t>Hauer</t>
  </si>
  <si>
    <t>Xaxim</t>
  </si>
  <si>
    <t>Capão Raso</t>
  </si>
  <si>
    <t>Pinheirinho</t>
  </si>
  <si>
    <t>Fanny</t>
  </si>
  <si>
    <t>Lindóia</t>
  </si>
  <si>
    <t>Novo Mundo</t>
  </si>
  <si>
    <t>Água Verde</t>
  </si>
  <si>
    <t>Fazendinha/Portão</t>
  </si>
  <si>
    <t>Campo Comprido</t>
  </si>
  <si>
    <t>A Prefeitura lista Campo Comprido dividido (Norte/Sul) entre Santa Felicidade e Fazendinha/Portão.</t>
  </si>
  <si>
    <t>Fazendinha</t>
  </si>
  <si>
    <t>Guaíra</t>
  </si>
  <si>
    <t>Parolin</t>
  </si>
  <si>
    <t>Portão</t>
  </si>
  <si>
    <t>Santa Quitéria</t>
  </si>
  <si>
    <t>Seminário</t>
  </si>
  <si>
    <t>Vila Izabel</t>
  </si>
  <si>
    <t>Butiatuvinha</t>
  </si>
  <si>
    <t>Santa Felicidade</t>
  </si>
  <si>
    <t>Campina do Siqueira</t>
  </si>
  <si>
    <t>Cascatinha</t>
  </si>
  <si>
    <t>Lamenha Pequena</t>
  </si>
  <si>
    <t>Mossunguê</t>
  </si>
  <si>
    <t>Orleans</t>
  </si>
  <si>
    <t>Santo Inácio</t>
  </si>
  <si>
    <t>São Braz</t>
  </si>
  <si>
    <t>São João</t>
  </si>
  <si>
    <t>Vista Alegre</t>
  </si>
  <si>
    <t>Augusta</t>
  </si>
  <si>
    <t>CIC</t>
  </si>
  <si>
    <t>Cidade Industrial de Curitiba</t>
  </si>
  <si>
    <t>Rivieira</t>
  </si>
  <si>
    <t>São Miguel</t>
  </si>
  <si>
    <t>Ganchinho</t>
  </si>
  <si>
    <t>Bairro Novo</t>
  </si>
  <si>
    <t>Sítio Cercado</t>
  </si>
  <si>
    <t>Umbará</t>
  </si>
  <si>
    <t>Campo de Santana</t>
  </si>
  <si>
    <t>Tatuquara</t>
  </si>
  <si>
    <t>Caximba</t>
  </si>
  <si>
    <t>População, domicílios, área do setor, situação urbana/rural (Censo 2022)</t>
  </si>
  <si>
    <t>https://geocuritiba.ippuc.org.br/server/rest/services/GeoCuritiba/Publico_Interno_GeoCuritiba_BaseTematica/MapServer/43</t>
  </si>
  <si>
    <t>Layer ‘Setor Censitário - 2022’ (campos v0001–v0007, area_km2 e situacao). Dá para agregar por nm_bairro.</t>
  </si>
  <si>
    <t>População e domicílios (Censo 2010) + campo 'renda' (proxy)</t>
  </si>
  <si>
    <t>https://geocuritiba.ippuc.org.br/server/rest/services/GeoCuritiba/Publico_Interno_GeoCuritiba_BaseTematica/MapServer/10</t>
  </si>
  <si>
    <t>Layer ‘Setor Censitário - 2010’ (campos pessoas, domicilios, renda).</t>
  </si>
  <si>
    <t>Lista oficial dos bairros (75) e suas Regionais</t>
  </si>
  <si>
    <t>https://regionais.curitiba.pr.gov.br/</t>
  </si>
  <si>
    <t>As páginas das Regionais listam os ‘Bairros de Abrangência’.</t>
  </si>
  <si>
    <t>Renda média familiar, faixas de renda e escolaridade (por bairro)</t>
  </si>
  <si>
    <t>https://www.curitiba.pr.gov.br/servicos/infocuritiba-base-de-dados-estatisticos/147</t>
  </si>
  <si>
    <t>InfoCuritiba permite tabulações por bairros (ver eixos temáticos).</t>
  </si>
  <si>
    <t>Dados geográficos (bases/shapefile)</t>
  </si>
  <si>
    <t>https://www.curitiba.pr.gov.br/servicos/dados-geograficos-de-curitiba/92</t>
  </si>
  <si>
    <t>Portal oficial para download da base cartográfica municipal (SHP/DWG).</t>
  </si>
  <si>
    <t>Portal de Dados Abertos de Curitiba (datasets diversos)</t>
  </si>
  <si>
    <t>https://dadosabertos.curitiba.pr.gov.br/</t>
  </si>
  <si>
    <t>Catálogo municipal: útil para checar se há saúde/óbitos/indicadores por bairro.</t>
  </si>
  <si>
    <t>Pop</t>
  </si>
  <si>
    <t>Dom</t>
  </si>
  <si>
    <t>Dom_part</t>
  </si>
  <si>
    <t>Area</t>
  </si>
  <si>
    <t>Pop_urb</t>
  </si>
  <si>
    <t>Urb</t>
  </si>
  <si>
    <t>Dens</t>
  </si>
  <si>
    <t>Pop_2010</t>
  </si>
  <si>
    <t>Pop_1/2_SM</t>
  </si>
  <si>
    <t>Pop_10_SM</t>
  </si>
  <si>
    <t>Grow</t>
  </si>
  <si>
    <t>Inc</t>
  </si>
  <si>
    <t>Lit</t>
  </si>
  <si>
    <t>Loc</t>
  </si>
  <si>
    <t>-</t>
  </si>
  <si>
    <t>Nighborhood</t>
  </si>
  <si>
    <t>Population (2022) [v0001]</t>
  </si>
  <si>
    <t>Private domiciles (2022) [v0003]</t>
  </si>
  <si>
    <t>Domiciles (2022) [v0002]</t>
  </si>
  <si>
    <t>Area (km²) (2022) [area_km2]</t>
  </si>
  <si>
    <t>Urban population (2022) [situacao=Urbana]</t>
  </si>
  <si>
    <t>Urbanization rate (2022) [%]</t>
  </si>
  <si>
    <t>Demographic density (2022) [hab/km²]</t>
  </si>
  <si>
    <t>Population (2010) [pessoas]</t>
  </si>
  <si>
    <t>Average personal income (2010) [renda]</t>
  </si>
  <si>
    <t>Average population growth 2010→2022 [%]</t>
  </si>
  <si>
    <t>Literacy (2022)</t>
  </si>
  <si>
    <t>Notes</t>
  </si>
  <si>
    <t>% pop. until 1/2 minimum salary/month</t>
  </si>
  <si>
    <t>% pop. until 10 minimum salary/month</t>
  </si>
  <si>
    <t>Variable</t>
  </si>
  <si>
    <t>Link</t>
  </si>
  <si>
    <t>Alto da Rua XV</t>
  </si>
  <si>
    <t>Riviera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</si>
</sst>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0" borderId="0" xfId="0" applyNumberFormat="1"/>
    <xf numFmtId="0" fontId="1" fillId="2" borderId="0" xfId="0" quotePrefix="1" applyFont="1" applyFill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eocuritiba.ippuc.org.br/server/rest/services/GeoCuritiba/Publico_Interno_GeoCuritiba_BaseTematica/MapServer/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workbookViewId="0">
      <pane ySplit="1" topLeftCell="A2" activePane="bottomLeft" state="frozen"/>
      <selection pane="bottomLeft" activeCell="C16" sqref="C16"/>
    </sheetView>
  </sheetViews>
  <sheetFormatPr defaultRowHeight="14.5" x14ac:dyDescent="0.35"/>
  <cols>
    <col min="1" max="1" width="26" customWidth="1"/>
    <col min="2" max="2" width="18" customWidth="1"/>
    <col min="3" max="3" width="85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22</v>
      </c>
      <c r="B2" s="2" t="s">
        <v>23</v>
      </c>
      <c r="C2" s="2"/>
    </row>
    <row r="3" spans="1:3" x14ac:dyDescent="0.35">
      <c r="A3" s="2" t="s">
        <v>49</v>
      </c>
      <c r="B3" s="2" t="s">
        <v>50</v>
      </c>
      <c r="C3" s="2"/>
    </row>
    <row r="4" spans="1:3" x14ac:dyDescent="0.35">
      <c r="A4" s="2" t="s">
        <v>3</v>
      </c>
      <c r="B4" s="2" t="s">
        <v>4</v>
      </c>
      <c r="C4" s="2"/>
    </row>
    <row r="5" spans="1:3" x14ac:dyDescent="0.35">
      <c r="A5" s="2" t="s">
        <v>40</v>
      </c>
      <c r="B5" s="2" t="s">
        <v>41</v>
      </c>
      <c r="C5" s="2"/>
    </row>
    <row r="6" spans="1:3" x14ac:dyDescent="0.35">
      <c r="A6" s="2" t="s">
        <v>5</v>
      </c>
      <c r="B6" s="2" t="s">
        <v>4</v>
      </c>
      <c r="C6" s="2"/>
    </row>
    <row r="7" spans="1:3" x14ac:dyDescent="0.35">
      <c r="A7" s="2" t="s">
        <v>6</v>
      </c>
      <c r="B7" s="2" t="s">
        <v>4</v>
      </c>
      <c r="C7" s="2"/>
    </row>
    <row r="8" spans="1:3" x14ac:dyDescent="0.35">
      <c r="A8" s="2" t="s">
        <v>24</v>
      </c>
      <c r="B8" s="2" t="s">
        <v>23</v>
      </c>
      <c r="C8" s="2"/>
    </row>
    <row r="9" spans="1:3" x14ac:dyDescent="0.35">
      <c r="A9" s="2" t="s">
        <v>71</v>
      </c>
      <c r="B9" s="2" t="s">
        <v>72</v>
      </c>
      <c r="C9" s="2"/>
    </row>
    <row r="10" spans="1:3" x14ac:dyDescent="0.35">
      <c r="A10" s="2" t="s">
        <v>25</v>
      </c>
      <c r="B10" s="2" t="s">
        <v>23</v>
      </c>
      <c r="C10" s="2"/>
    </row>
    <row r="11" spans="1:3" x14ac:dyDescent="0.35">
      <c r="A11" s="2" t="s">
        <v>26</v>
      </c>
      <c r="B11" s="2" t="s">
        <v>23</v>
      </c>
      <c r="C11" s="2"/>
    </row>
    <row r="12" spans="1:3" x14ac:dyDescent="0.35">
      <c r="A12" s="2" t="s">
        <v>27</v>
      </c>
      <c r="B12" s="2" t="s">
        <v>23</v>
      </c>
      <c r="C12" s="2"/>
    </row>
    <row r="13" spans="1:3" x14ac:dyDescent="0.35">
      <c r="A13" s="2" t="s">
        <v>7</v>
      </c>
      <c r="B13" s="2" t="s">
        <v>4</v>
      </c>
      <c r="C13" s="2"/>
    </row>
    <row r="14" spans="1:3" x14ac:dyDescent="0.35">
      <c r="A14" s="2" t="s">
        <v>8</v>
      </c>
      <c r="B14" s="2" t="s">
        <v>4</v>
      </c>
      <c r="C14" s="2"/>
    </row>
    <row r="15" spans="1:3" x14ac:dyDescent="0.35">
      <c r="A15" s="2" t="s">
        <v>23</v>
      </c>
      <c r="B15" s="2" t="s">
        <v>23</v>
      </c>
      <c r="C15" s="2"/>
    </row>
    <row r="16" spans="1:3" x14ac:dyDescent="0.35">
      <c r="A16" s="2" t="s">
        <v>9</v>
      </c>
      <c r="B16" s="2" t="s">
        <v>4</v>
      </c>
      <c r="C16" s="2"/>
    </row>
    <row r="17" spans="1:3" x14ac:dyDescent="0.35">
      <c r="A17" s="2" t="s">
        <v>41</v>
      </c>
      <c r="B17" s="2" t="s">
        <v>41</v>
      </c>
      <c r="C17" s="2"/>
    </row>
    <row r="18" spans="1:3" x14ac:dyDescent="0.35">
      <c r="A18" s="2" t="s">
        <v>60</v>
      </c>
      <c r="B18" s="2" t="s">
        <v>61</v>
      </c>
      <c r="C18" s="2"/>
    </row>
    <row r="19" spans="1:3" x14ac:dyDescent="0.35">
      <c r="A19" s="2" t="s">
        <v>10</v>
      </c>
      <c r="B19" s="2" t="s">
        <v>4</v>
      </c>
      <c r="C19" s="2"/>
    </row>
    <row r="20" spans="1:3" x14ac:dyDescent="0.35">
      <c r="A20" s="2" t="s">
        <v>28</v>
      </c>
      <c r="B20" s="2" t="s">
        <v>23</v>
      </c>
      <c r="C20" s="2"/>
    </row>
    <row r="21" spans="1:3" x14ac:dyDescent="0.35">
      <c r="A21" s="2" t="s">
        <v>34</v>
      </c>
      <c r="B21" s="2" t="s">
        <v>34</v>
      </c>
      <c r="C21" s="2"/>
    </row>
    <row r="22" spans="1:3" x14ac:dyDescent="0.35">
      <c r="A22" s="2" t="s">
        <v>62</v>
      </c>
      <c r="B22" s="2" t="s">
        <v>61</v>
      </c>
      <c r="C22" s="2"/>
    </row>
    <row r="23" spans="1:3" x14ac:dyDescent="0.35">
      <c r="A23" s="2" t="s">
        <v>51</v>
      </c>
      <c r="B23" s="2" t="s">
        <v>50</v>
      </c>
      <c r="C23" s="7" t="s">
        <v>52</v>
      </c>
    </row>
    <row r="24" spans="1:3" x14ac:dyDescent="0.35">
      <c r="A24" s="2" t="s">
        <v>80</v>
      </c>
      <c r="B24" s="2" t="s">
        <v>81</v>
      </c>
      <c r="C24" s="2"/>
    </row>
    <row r="25" spans="1:3" x14ac:dyDescent="0.35">
      <c r="A25" s="2" t="s">
        <v>35</v>
      </c>
      <c r="B25" s="2" t="s">
        <v>34</v>
      </c>
      <c r="C25" s="2"/>
    </row>
    <row r="26" spans="1:3" x14ac:dyDescent="0.35">
      <c r="A26" s="2" t="s">
        <v>44</v>
      </c>
      <c r="B26" s="2" t="s">
        <v>45</v>
      </c>
      <c r="C26" s="2"/>
    </row>
    <row r="27" spans="1:3" x14ac:dyDescent="0.35">
      <c r="A27" s="2" t="s">
        <v>63</v>
      </c>
      <c r="B27" s="2" t="s">
        <v>61</v>
      </c>
      <c r="C27" s="2"/>
    </row>
    <row r="28" spans="1:3" x14ac:dyDescent="0.35">
      <c r="A28" s="2" t="s">
        <v>82</v>
      </c>
      <c r="B28" s="2" t="s">
        <v>81</v>
      </c>
      <c r="C28" s="2"/>
    </row>
    <row r="29" spans="1:3" x14ac:dyDescent="0.35">
      <c r="A29" s="2" t="s">
        <v>11</v>
      </c>
      <c r="B29" s="2" t="s">
        <v>4</v>
      </c>
      <c r="C29" s="2"/>
    </row>
    <row r="30" spans="1:3" x14ac:dyDescent="0.35">
      <c r="A30" s="2" t="s">
        <v>12</v>
      </c>
      <c r="B30" s="2" t="s">
        <v>4</v>
      </c>
      <c r="C30" s="2"/>
    </row>
    <row r="31" spans="1:3" x14ac:dyDescent="0.35">
      <c r="A31" s="2" t="s">
        <v>73</v>
      </c>
      <c r="B31" s="2" t="s">
        <v>72</v>
      </c>
      <c r="C31" s="2"/>
    </row>
    <row r="32" spans="1:3" x14ac:dyDescent="0.35">
      <c r="A32" s="2" t="s">
        <v>13</v>
      </c>
      <c r="B32" s="2" t="s">
        <v>4</v>
      </c>
      <c r="C32" s="2"/>
    </row>
    <row r="33" spans="1:3" x14ac:dyDescent="0.35">
      <c r="A33" s="2" t="s">
        <v>46</v>
      </c>
      <c r="B33" s="2" t="s">
        <v>45</v>
      </c>
      <c r="C33" s="2"/>
    </row>
    <row r="34" spans="1:3" x14ac:dyDescent="0.35">
      <c r="A34" s="2" t="s">
        <v>53</v>
      </c>
      <c r="B34" s="2" t="s">
        <v>50</v>
      </c>
      <c r="C34" s="2"/>
    </row>
    <row r="35" spans="1:3" x14ac:dyDescent="0.35">
      <c r="A35" s="2" t="s">
        <v>76</v>
      </c>
      <c r="B35" s="2" t="s">
        <v>77</v>
      </c>
      <c r="C35" s="2"/>
    </row>
    <row r="36" spans="1:3" x14ac:dyDescent="0.35">
      <c r="A36" s="2" t="s">
        <v>36</v>
      </c>
      <c r="B36" s="2" t="s">
        <v>34</v>
      </c>
      <c r="C36" s="2"/>
    </row>
    <row r="37" spans="1:3" x14ac:dyDescent="0.35">
      <c r="A37" s="2" t="s">
        <v>54</v>
      </c>
      <c r="B37" s="2" t="s">
        <v>50</v>
      </c>
      <c r="C37" s="2"/>
    </row>
    <row r="38" spans="1:3" x14ac:dyDescent="0.35">
      <c r="A38" s="2" t="s">
        <v>42</v>
      </c>
      <c r="B38" s="2" t="s">
        <v>41</v>
      </c>
      <c r="C38" s="2"/>
    </row>
    <row r="39" spans="1:3" x14ac:dyDescent="0.35">
      <c r="A39" s="2" t="s">
        <v>14</v>
      </c>
      <c r="B39" s="2" t="s">
        <v>4</v>
      </c>
      <c r="C39" s="2"/>
    </row>
    <row r="40" spans="1:3" x14ac:dyDescent="0.35">
      <c r="A40" s="2" t="s">
        <v>15</v>
      </c>
      <c r="B40" s="2" t="s">
        <v>4</v>
      </c>
      <c r="C40" s="2"/>
    </row>
    <row r="41" spans="1:3" x14ac:dyDescent="0.35">
      <c r="A41" s="2" t="s">
        <v>37</v>
      </c>
      <c r="B41" s="2" t="s">
        <v>34</v>
      </c>
      <c r="C41" s="2"/>
    </row>
    <row r="42" spans="1:3" x14ac:dyDescent="0.35">
      <c r="A42" s="2" t="s">
        <v>16</v>
      </c>
      <c r="B42" s="2" t="s">
        <v>4</v>
      </c>
      <c r="C42" s="2"/>
    </row>
    <row r="43" spans="1:3" x14ac:dyDescent="0.35">
      <c r="A43" s="2" t="s">
        <v>17</v>
      </c>
      <c r="B43" s="2" t="s">
        <v>4</v>
      </c>
      <c r="C43" s="2"/>
    </row>
    <row r="44" spans="1:3" x14ac:dyDescent="0.35">
      <c r="A44" s="2" t="s">
        <v>64</v>
      </c>
      <c r="B44" s="2" t="s">
        <v>61</v>
      </c>
      <c r="C44" s="2"/>
    </row>
    <row r="45" spans="1:3" x14ac:dyDescent="0.35">
      <c r="A45" s="2" t="s">
        <v>47</v>
      </c>
      <c r="B45" s="2" t="s">
        <v>45</v>
      </c>
      <c r="C45" s="2"/>
    </row>
    <row r="46" spans="1:3" x14ac:dyDescent="0.35">
      <c r="A46" s="2" t="s">
        <v>18</v>
      </c>
      <c r="B46" s="2" t="s">
        <v>4</v>
      </c>
      <c r="C46" s="2"/>
    </row>
    <row r="47" spans="1:3" x14ac:dyDescent="0.35">
      <c r="A47" s="2" t="s">
        <v>65</v>
      </c>
      <c r="B47" s="2" t="s">
        <v>61</v>
      </c>
      <c r="C47" s="2"/>
    </row>
    <row r="48" spans="1:3" x14ac:dyDescent="0.35">
      <c r="A48" s="2" t="s">
        <v>48</v>
      </c>
      <c r="B48" s="2" t="s">
        <v>45</v>
      </c>
      <c r="C48" s="2"/>
    </row>
    <row r="49" spans="1:3" x14ac:dyDescent="0.35">
      <c r="A49" s="2" t="s">
        <v>66</v>
      </c>
      <c r="B49" s="2" t="s">
        <v>61</v>
      </c>
      <c r="C49" s="2"/>
    </row>
    <row r="50" spans="1:3" x14ac:dyDescent="0.35">
      <c r="A50" s="2" t="s">
        <v>55</v>
      </c>
      <c r="B50" s="2" t="s">
        <v>50</v>
      </c>
      <c r="C50" s="2"/>
    </row>
    <row r="51" spans="1:3" x14ac:dyDescent="0.35">
      <c r="A51" s="2" t="s">
        <v>29</v>
      </c>
      <c r="B51" s="2" t="s">
        <v>23</v>
      </c>
      <c r="C51" s="2"/>
    </row>
    <row r="52" spans="1:3" x14ac:dyDescent="0.35">
      <c r="A52" s="2" t="s">
        <v>45</v>
      </c>
      <c r="B52" s="2" t="s">
        <v>45</v>
      </c>
      <c r="C52" s="2"/>
    </row>
    <row r="53" spans="1:3" x14ac:dyDescent="0.35">
      <c r="A53" s="2" t="s">
        <v>56</v>
      </c>
      <c r="B53" s="2" t="s">
        <v>50</v>
      </c>
      <c r="C53" s="2"/>
    </row>
    <row r="54" spans="1:3" x14ac:dyDescent="0.35">
      <c r="A54" s="2" t="s">
        <v>19</v>
      </c>
      <c r="B54" s="2" t="s">
        <v>4</v>
      </c>
      <c r="C54" s="2"/>
    </row>
    <row r="55" spans="1:3" x14ac:dyDescent="0.35">
      <c r="A55" s="2" t="s">
        <v>20</v>
      </c>
      <c r="B55" s="2" t="s">
        <v>4</v>
      </c>
      <c r="C55" s="2"/>
    </row>
    <row r="56" spans="1:3" x14ac:dyDescent="0.35">
      <c r="A56" s="2" t="s">
        <v>74</v>
      </c>
      <c r="B56" s="2" t="s">
        <v>72</v>
      </c>
      <c r="C56" s="2"/>
    </row>
    <row r="57" spans="1:3" x14ac:dyDescent="0.35">
      <c r="A57" s="2" t="s">
        <v>30</v>
      </c>
      <c r="B57" s="2" t="s">
        <v>23</v>
      </c>
      <c r="C57" s="2"/>
    </row>
    <row r="58" spans="1:3" x14ac:dyDescent="0.35">
      <c r="A58" s="2" t="s">
        <v>61</v>
      </c>
      <c r="B58" s="2" t="s">
        <v>61</v>
      </c>
      <c r="C58" s="2"/>
    </row>
    <row r="59" spans="1:3" x14ac:dyDescent="0.35">
      <c r="A59" s="2" t="s">
        <v>57</v>
      </c>
      <c r="B59" s="2" t="s">
        <v>50</v>
      </c>
      <c r="C59" s="2"/>
    </row>
    <row r="60" spans="1:3" x14ac:dyDescent="0.35">
      <c r="A60" s="2" t="s">
        <v>67</v>
      </c>
      <c r="B60" s="2" t="s">
        <v>61</v>
      </c>
      <c r="C60" s="2"/>
    </row>
    <row r="61" spans="1:3" x14ac:dyDescent="0.35">
      <c r="A61" s="2" t="s">
        <v>68</v>
      </c>
      <c r="B61" s="2" t="s">
        <v>61</v>
      </c>
      <c r="C61" s="2"/>
    </row>
    <row r="62" spans="1:3" x14ac:dyDescent="0.35">
      <c r="A62" s="2" t="s">
        <v>21</v>
      </c>
      <c r="B62" s="2" t="s">
        <v>4</v>
      </c>
      <c r="C62" s="2"/>
    </row>
    <row r="63" spans="1:3" x14ac:dyDescent="0.35">
      <c r="A63" s="2" t="s">
        <v>69</v>
      </c>
      <c r="B63" s="2" t="s">
        <v>61</v>
      </c>
      <c r="C63" s="2"/>
    </row>
    <row r="64" spans="1:3" x14ac:dyDescent="0.35">
      <c r="A64" s="2" t="s">
        <v>31</v>
      </c>
      <c r="B64" s="2" t="s">
        <v>23</v>
      </c>
      <c r="C64" s="2"/>
    </row>
    <row r="65" spans="1:3" x14ac:dyDescent="0.35">
      <c r="A65" s="2" t="s">
        <v>75</v>
      </c>
      <c r="B65" s="2" t="s">
        <v>72</v>
      </c>
      <c r="C65" s="2"/>
    </row>
    <row r="66" spans="1:3" x14ac:dyDescent="0.35">
      <c r="A66" s="2" t="s">
        <v>58</v>
      </c>
      <c r="B66" s="2" t="s">
        <v>50</v>
      </c>
      <c r="C66" s="2"/>
    </row>
    <row r="67" spans="1:3" x14ac:dyDescent="0.35">
      <c r="A67" s="2" t="s">
        <v>78</v>
      </c>
      <c r="B67" s="2" t="s">
        <v>77</v>
      </c>
      <c r="C67" s="2"/>
    </row>
    <row r="68" spans="1:3" x14ac:dyDescent="0.35">
      <c r="A68" s="2" t="s">
        <v>32</v>
      </c>
      <c r="B68" s="2" t="s">
        <v>23</v>
      </c>
      <c r="C68" s="2"/>
    </row>
    <row r="69" spans="1:3" x14ac:dyDescent="0.35">
      <c r="A69" s="2" t="s">
        <v>39</v>
      </c>
      <c r="B69" s="2" t="s">
        <v>34</v>
      </c>
      <c r="C69" s="2"/>
    </row>
    <row r="70" spans="1:3" x14ac:dyDescent="0.35">
      <c r="A70" s="2" t="s">
        <v>81</v>
      </c>
      <c r="B70" s="2" t="s">
        <v>81</v>
      </c>
      <c r="C70" s="2"/>
    </row>
    <row r="71" spans="1:3" x14ac:dyDescent="0.35">
      <c r="A71" s="2" t="s">
        <v>33</v>
      </c>
      <c r="B71" s="2" t="s">
        <v>23</v>
      </c>
      <c r="C71" s="2"/>
    </row>
    <row r="72" spans="1:3" x14ac:dyDescent="0.35">
      <c r="A72" s="2" t="s">
        <v>38</v>
      </c>
      <c r="B72" s="2" t="s">
        <v>34</v>
      </c>
      <c r="C72" s="2"/>
    </row>
    <row r="73" spans="1:3" x14ac:dyDescent="0.35">
      <c r="A73" s="2" t="s">
        <v>79</v>
      </c>
      <c r="B73" s="2" t="s">
        <v>77</v>
      </c>
      <c r="C73" s="2"/>
    </row>
    <row r="74" spans="1:3" x14ac:dyDescent="0.35">
      <c r="A74" s="2" t="s">
        <v>59</v>
      </c>
      <c r="B74" s="2" t="s">
        <v>50</v>
      </c>
      <c r="C74" s="2"/>
    </row>
    <row r="75" spans="1:3" x14ac:dyDescent="0.35">
      <c r="A75" s="2" t="s">
        <v>70</v>
      </c>
      <c r="B75" s="2" t="s">
        <v>61</v>
      </c>
      <c r="C75" s="2"/>
    </row>
    <row r="76" spans="1:3" x14ac:dyDescent="0.35">
      <c r="A76" s="2" t="s">
        <v>43</v>
      </c>
      <c r="B76" s="2" t="s">
        <v>41</v>
      </c>
      <c r="C76" s="2"/>
    </row>
  </sheetData>
  <autoFilter ref="A1:C76" xr:uid="{00000000-0009-0000-0000-000000000000}">
    <sortState xmlns:xlrd2="http://schemas.microsoft.com/office/spreadsheetml/2017/richdata2" ref="A2:C76">
      <sortCondition ref="A1:A7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7"/>
  <sheetViews>
    <sheetView workbookViewId="0">
      <pane xSplit="1" ySplit="2" topLeftCell="B3" activePane="bottomRight" state="frozen"/>
      <selection pane="topRight" activeCell="C1" sqref="C1"/>
      <selection pane="bottomLeft" activeCell="A4" sqref="A4"/>
      <selection pane="bottomRight"/>
    </sheetView>
  </sheetViews>
  <sheetFormatPr defaultRowHeight="14.5" x14ac:dyDescent="0.35"/>
  <cols>
    <col min="1" max="1" width="26" customWidth="1"/>
    <col min="2" max="2" width="18" customWidth="1"/>
    <col min="3" max="3" width="34.26953125" customWidth="1"/>
    <col min="4" max="16" width="22" customWidth="1"/>
    <col min="17" max="17" width="45" customWidth="1"/>
  </cols>
  <sheetData>
    <row r="1" spans="1:17" ht="29" x14ac:dyDescent="0.35">
      <c r="A1" s="1" t="s">
        <v>116</v>
      </c>
      <c r="B1" s="1" t="s">
        <v>1</v>
      </c>
      <c r="C1" s="1" t="s">
        <v>2</v>
      </c>
      <c r="D1" s="1" t="s">
        <v>117</v>
      </c>
      <c r="E1" s="1" t="s">
        <v>119</v>
      </c>
      <c r="F1" s="1" t="s">
        <v>118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126</v>
      </c>
      <c r="M1" s="1" t="s">
        <v>125</v>
      </c>
      <c r="N1" s="1" t="s">
        <v>129</v>
      </c>
      <c r="O1" s="1" t="s">
        <v>130</v>
      </c>
      <c r="P1" s="1" t="s">
        <v>127</v>
      </c>
      <c r="Q1" s="1" t="s">
        <v>128</v>
      </c>
    </row>
    <row r="2" spans="1:17" x14ac:dyDescent="0.35">
      <c r="A2" s="1" t="s">
        <v>114</v>
      </c>
      <c r="B2" s="11" t="s">
        <v>115</v>
      </c>
      <c r="C2" s="11" t="s">
        <v>115</v>
      </c>
      <c r="D2" s="1" t="s">
        <v>101</v>
      </c>
      <c r="E2" s="1" t="s">
        <v>102</v>
      </c>
      <c r="F2" s="1" t="s">
        <v>103</v>
      </c>
      <c r="G2" s="1" t="s">
        <v>104</v>
      </c>
      <c r="H2" s="1" t="s">
        <v>105</v>
      </c>
      <c r="I2" s="1" t="s">
        <v>106</v>
      </c>
      <c r="J2" s="1" t="s">
        <v>107</v>
      </c>
      <c r="K2" s="1" t="s">
        <v>108</v>
      </c>
      <c r="L2" s="1" t="s">
        <v>111</v>
      </c>
      <c r="M2" s="1" t="s">
        <v>112</v>
      </c>
      <c r="N2" s="1" t="s">
        <v>109</v>
      </c>
      <c r="O2" s="1" t="s">
        <v>110</v>
      </c>
      <c r="P2" s="1" t="s">
        <v>113</v>
      </c>
      <c r="Q2" s="11" t="s">
        <v>115</v>
      </c>
    </row>
    <row r="3" spans="1:17" x14ac:dyDescent="0.35">
      <c r="A3" s="2" t="s">
        <v>22</v>
      </c>
      <c r="B3" s="2" t="s">
        <v>23</v>
      </c>
      <c r="C3" s="2"/>
      <c r="D3" s="5">
        <v>13991</v>
      </c>
      <c r="E3" s="5">
        <v>5655</v>
      </c>
      <c r="F3" s="5">
        <v>5651</v>
      </c>
      <c r="G3">
        <v>4.32</v>
      </c>
      <c r="H3" s="5">
        <f t="shared" ref="H3:H34" si="0">D3</f>
        <v>13991</v>
      </c>
      <c r="I3" s="2">
        <v>1</v>
      </c>
      <c r="J3">
        <v>32.409999999999997</v>
      </c>
      <c r="K3" s="5">
        <v>13189</v>
      </c>
      <c r="L3" s="9">
        <f t="shared" ref="L3:L34" si="1">((D3*1)/K3)-1</f>
        <v>6.0808249298657913E-2</v>
      </c>
      <c r="M3" s="6">
        <v>1179.72</v>
      </c>
      <c r="N3" s="10">
        <v>8.03700053074532E-3</v>
      </c>
      <c r="O3" s="10">
        <v>0.56221093335355221</v>
      </c>
      <c r="P3" s="8">
        <v>0.96290000000000009</v>
      </c>
      <c r="Q3" s="2"/>
    </row>
    <row r="4" spans="1:17" x14ac:dyDescent="0.35">
      <c r="A4" s="2" t="s">
        <v>49</v>
      </c>
      <c r="B4" s="2" t="s">
        <v>50</v>
      </c>
      <c r="C4" s="2"/>
      <c r="D4" s="5">
        <v>49573</v>
      </c>
      <c r="E4" s="5">
        <v>25689</v>
      </c>
      <c r="F4" s="5">
        <v>25659</v>
      </c>
      <c r="G4">
        <v>4.7699999999999996</v>
      </c>
      <c r="H4" s="5">
        <f t="shared" si="0"/>
        <v>49573</v>
      </c>
      <c r="I4" s="2">
        <v>1</v>
      </c>
      <c r="J4">
        <v>103.86</v>
      </c>
      <c r="K4" s="5">
        <v>51425</v>
      </c>
      <c r="L4" s="9">
        <f t="shared" si="1"/>
        <v>-3.6013612056392752E-2</v>
      </c>
      <c r="M4" s="6">
        <v>3170.07</v>
      </c>
      <c r="N4" s="10">
        <v>3.1696645600388916E-3</v>
      </c>
      <c r="O4" s="10">
        <v>0.53193971803597473</v>
      </c>
      <c r="P4" s="8">
        <v>0.99180000000000001</v>
      </c>
      <c r="Q4" s="2"/>
    </row>
    <row r="5" spans="1:17" x14ac:dyDescent="0.35">
      <c r="A5" s="2" t="s">
        <v>3</v>
      </c>
      <c r="B5" s="2" t="s">
        <v>4</v>
      </c>
      <c r="C5" s="2"/>
      <c r="D5" s="5">
        <v>11859</v>
      </c>
      <c r="E5" s="5">
        <v>5512</v>
      </c>
      <c r="F5" s="5">
        <v>5505</v>
      </c>
      <c r="G5">
        <v>1.85</v>
      </c>
      <c r="H5" s="5">
        <f t="shared" si="0"/>
        <v>11859</v>
      </c>
      <c r="I5" s="2">
        <v>1</v>
      </c>
      <c r="J5">
        <v>63.93</v>
      </c>
      <c r="K5" s="5">
        <v>11506</v>
      </c>
      <c r="L5" s="9">
        <f t="shared" si="1"/>
        <v>3.0679645402398759E-2</v>
      </c>
      <c r="M5" s="6">
        <v>3054.92</v>
      </c>
      <c r="N5" s="10">
        <v>2.8680688336520078E-3</v>
      </c>
      <c r="O5" s="10">
        <v>0.49965235529289065</v>
      </c>
      <c r="P5" s="8">
        <v>0.99129999999999996</v>
      </c>
      <c r="Q5" s="2"/>
    </row>
    <row r="6" spans="1:17" x14ac:dyDescent="0.35">
      <c r="A6" s="2" t="s">
        <v>40</v>
      </c>
      <c r="B6" s="2" t="s">
        <v>41</v>
      </c>
      <c r="C6" s="2"/>
      <c r="D6" s="5">
        <v>51178</v>
      </c>
      <c r="E6" s="5">
        <v>20354</v>
      </c>
      <c r="F6" s="5">
        <v>20347</v>
      </c>
      <c r="G6">
        <v>11.83</v>
      </c>
      <c r="H6" s="5">
        <f t="shared" si="0"/>
        <v>51178</v>
      </c>
      <c r="I6" s="2">
        <v>1</v>
      </c>
      <c r="J6">
        <v>43.25</v>
      </c>
      <c r="K6" s="5">
        <v>53671</v>
      </c>
      <c r="L6" s="9">
        <f t="shared" si="1"/>
        <v>-4.6449665554955222E-2</v>
      </c>
      <c r="M6">
        <v>867.36</v>
      </c>
      <c r="N6" s="10">
        <v>9.7259227515790643E-3</v>
      </c>
      <c r="O6" s="10">
        <v>0.57522684503735722</v>
      </c>
      <c r="P6" s="8">
        <v>0.96640000000000004</v>
      </c>
      <c r="Q6" s="2"/>
    </row>
    <row r="7" spans="1:17" x14ac:dyDescent="0.35">
      <c r="A7" s="2" t="s">
        <v>5</v>
      </c>
      <c r="B7" s="2" t="s">
        <v>4</v>
      </c>
      <c r="C7" s="2"/>
      <c r="D7" s="5">
        <v>6242</v>
      </c>
      <c r="E7" s="5">
        <v>3780</v>
      </c>
      <c r="F7" s="5">
        <v>3776</v>
      </c>
      <c r="G7">
        <v>0.88</v>
      </c>
      <c r="H7" s="5">
        <f t="shared" si="0"/>
        <v>6242</v>
      </c>
      <c r="I7" s="2">
        <v>1</v>
      </c>
      <c r="J7">
        <v>71.3</v>
      </c>
      <c r="K7" s="5">
        <v>5548</v>
      </c>
      <c r="L7" s="9">
        <f t="shared" si="1"/>
        <v>0.12509012256669072</v>
      </c>
      <c r="M7" s="6">
        <v>3054.18</v>
      </c>
      <c r="N7" s="10">
        <v>2.5234318673395817E-3</v>
      </c>
      <c r="O7" s="10">
        <v>0.52361211247296324</v>
      </c>
      <c r="P7" s="8">
        <v>0.99159999999999993</v>
      </c>
      <c r="Q7" s="2"/>
    </row>
    <row r="8" spans="1:17" x14ac:dyDescent="0.35">
      <c r="A8" s="2" t="s">
        <v>6</v>
      </c>
      <c r="B8" s="2" t="s">
        <v>4</v>
      </c>
      <c r="C8" s="2"/>
      <c r="D8" s="5">
        <v>8102</v>
      </c>
      <c r="E8" s="5">
        <v>4791</v>
      </c>
      <c r="F8" s="5">
        <v>4764</v>
      </c>
      <c r="G8">
        <v>1.49</v>
      </c>
      <c r="H8" s="5">
        <f t="shared" si="0"/>
        <v>8102</v>
      </c>
      <c r="I8" s="2">
        <v>1</v>
      </c>
      <c r="J8">
        <v>54.54</v>
      </c>
      <c r="K8" s="5">
        <v>8531</v>
      </c>
      <c r="L8" s="9">
        <f t="shared" si="1"/>
        <v>-5.0287187902942176E-2</v>
      </c>
      <c r="M8" s="6">
        <v>2854.97</v>
      </c>
      <c r="N8" s="10">
        <v>2.8132692533114523E-3</v>
      </c>
      <c r="O8" s="10">
        <v>0.55644121439456107</v>
      </c>
      <c r="P8" s="8">
        <v>0.99010000000000009</v>
      </c>
      <c r="Q8" s="2"/>
    </row>
    <row r="9" spans="1:17" x14ac:dyDescent="0.35">
      <c r="A9" s="2" t="s">
        <v>24</v>
      </c>
      <c r="B9" s="2" t="s">
        <v>23</v>
      </c>
      <c r="C9" s="2"/>
      <c r="D9" s="5">
        <v>19958</v>
      </c>
      <c r="E9" s="5">
        <v>8260</v>
      </c>
      <c r="F9" s="5">
        <v>8255</v>
      </c>
      <c r="G9">
        <v>4.16</v>
      </c>
      <c r="H9" s="5">
        <f t="shared" si="0"/>
        <v>19958</v>
      </c>
      <c r="I9" s="2">
        <v>1</v>
      </c>
      <c r="J9">
        <v>47.98</v>
      </c>
      <c r="K9" s="5">
        <v>15935</v>
      </c>
      <c r="L9" s="9">
        <f t="shared" si="1"/>
        <v>0.25246313147160349</v>
      </c>
      <c r="M9" s="6">
        <v>1203.26</v>
      </c>
      <c r="N9" s="10">
        <v>1.1797929086915595E-2</v>
      </c>
      <c r="O9" s="10">
        <v>0.57088170693442108</v>
      </c>
      <c r="P9" s="8">
        <v>0.96499999999999997</v>
      </c>
      <c r="Q9" s="2"/>
    </row>
    <row r="10" spans="1:17" x14ac:dyDescent="0.35">
      <c r="A10" s="2" t="s">
        <v>71</v>
      </c>
      <c r="B10" s="2" t="s">
        <v>72</v>
      </c>
      <c r="C10" s="2"/>
      <c r="D10" s="5">
        <v>7399</v>
      </c>
      <c r="E10" s="5">
        <v>2964</v>
      </c>
      <c r="F10" s="5">
        <v>2963</v>
      </c>
      <c r="G10">
        <v>9.17</v>
      </c>
      <c r="H10" s="5">
        <f t="shared" si="0"/>
        <v>7399</v>
      </c>
      <c r="I10" s="2">
        <v>1</v>
      </c>
      <c r="J10">
        <v>8.07</v>
      </c>
      <c r="K10" s="5">
        <v>6598</v>
      </c>
      <c r="L10" s="9">
        <f t="shared" si="1"/>
        <v>0.12140042437102161</v>
      </c>
      <c r="M10">
        <v>731.64</v>
      </c>
      <c r="N10" s="10">
        <v>1.3185813882994847E-2</v>
      </c>
      <c r="O10" s="10">
        <v>0.53501060927553801</v>
      </c>
      <c r="P10" s="8">
        <v>0.95150000000000001</v>
      </c>
      <c r="Q10" s="2"/>
    </row>
    <row r="11" spans="1:17" x14ac:dyDescent="0.35">
      <c r="A11" s="2" t="s">
        <v>25</v>
      </c>
      <c r="B11" s="2" t="s">
        <v>23</v>
      </c>
      <c r="C11" s="2"/>
      <c r="D11" s="5">
        <v>23989</v>
      </c>
      <c r="E11" s="5">
        <v>11422</v>
      </c>
      <c r="F11" s="5">
        <v>11395</v>
      </c>
      <c r="G11">
        <v>7.05</v>
      </c>
      <c r="H11" s="5">
        <f t="shared" si="0"/>
        <v>23989</v>
      </c>
      <c r="I11" s="2">
        <v>1</v>
      </c>
      <c r="J11">
        <v>34.03</v>
      </c>
      <c r="K11" s="5">
        <v>23734</v>
      </c>
      <c r="L11" s="9">
        <f t="shared" si="1"/>
        <v>1.0744080222465646E-2</v>
      </c>
      <c r="M11" s="6">
        <v>2216.4</v>
      </c>
      <c r="N11" s="10">
        <v>3.5392264262239827E-3</v>
      </c>
      <c r="O11" s="10">
        <v>0.57967472823797084</v>
      </c>
      <c r="P11" s="8">
        <v>0.98730000000000007</v>
      </c>
      <c r="Q11" s="2"/>
    </row>
    <row r="12" spans="1:17" x14ac:dyDescent="0.35">
      <c r="A12" s="2" t="s">
        <v>26</v>
      </c>
      <c r="B12" s="2" t="s">
        <v>23</v>
      </c>
      <c r="C12" s="2"/>
      <c r="D12" s="5">
        <v>42767</v>
      </c>
      <c r="E12" s="5">
        <v>18006</v>
      </c>
      <c r="F12" s="5">
        <v>17999</v>
      </c>
      <c r="G12">
        <v>7.2</v>
      </c>
      <c r="H12" s="5">
        <f t="shared" si="0"/>
        <v>42767</v>
      </c>
      <c r="I12" s="2">
        <v>1</v>
      </c>
      <c r="J12">
        <v>59.39</v>
      </c>
      <c r="K12" s="5">
        <v>46106</v>
      </c>
      <c r="L12" s="9">
        <f t="shared" si="1"/>
        <v>-7.2420075478245804E-2</v>
      </c>
      <c r="M12" s="6">
        <v>1116.57</v>
      </c>
      <c r="N12" s="10">
        <v>8.6539712835639621E-3</v>
      </c>
      <c r="O12" s="10">
        <v>0.60089793085498633</v>
      </c>
      <c r="P12" s="8">
        <v>0.96819999999999995</v>
      </c>
      <c r="Q12" s="2"/>
    </row>
    <row r="13" spans="1:17" x14ac:dyDescent="0.35">
      <c r="A13" s="2" t="s">
        <v>27</v>
      </c>
      <c r="B13" s="2" t="s">
        <v>23</v>
      </c>
      <c r="C13" s="2"/>
      <c r="D13" s="5">
        <v>15986</v>
      </c>
      <c r="E13" s="5">
        <v>6911</v>
      </c>
      <c r="F13" s="5">
        <v>6909</v>
      </c>
      <c r="G13">
        <v>3.62</v>
      </c>
      <c r="H13" s="5">
        <f t="shared" si="0"/>
        <v>15986</v>
      </c>
      <c r="I13" s="2">
        <v>1</v>
      </c>
      <c r="J13">
        <v>44.15</v>
      </c>
      <c r="K13" s="5">
        <v>18017</v>
      </c>
      <c r="L13" s="9">
        <f t="shared" si="1"/>
        <v>-0.11272686906810236</v>
      </c>
      <c r="M13" s="6">
        <v>1163.49</v>
      </c>
      <c r="N13" s="10">
        <v>7.3264139423877446E-3</v>
      </c>
      <c r="O13" s="10">
        <v>0.616473330743187</v>
      </c>
      <c r="P13" s="8">
        <v>0.97510000000000008</v>
      </c>
      <c r="Q13" s="2"/>
    </row>
    <row r="14" spans="1:17" x14ac:dyDescent="0.35">
      <c r="A14" s="2" t="s">
        <v>7</v>
      </c>
      <c r="B14" s="2" t="s">
        <v>4</v>
      </c>
      <c r="C14" s="2"/>
      <c r="D14" s="5">
        <v>9913</v>
      </c>
      <c r="E14" s="5">
        <v>5764</v>
      </c>
      <c r="F14" s="5">
        <v>5741</v>
      </c>
      <c r="G14">
        <v>1.74</v>
      </c>
      <c r="H14" s="5">
        <f t="shared" si="0"/>
        <v>9913</v>
      </c>
      <c r="I14" s="2">
        <v>1</v>
      </c>
      <c r="J14">
        <v>57.05</v>
      </c>
      <c r="K14" s="5">
        <v>10878</v>
      </c>
      <c r="L14" s="9">
        <f t="shared" si="1"/>
        <v>-8.8711160139731571E-2</v>
      </c>
      <c r="M14" s="6">
        <v>4140.7</v>
      </c>
      <c r="N14" s="10">
        <v>1.4708586137157566E-3</v>
      </c>
      <c r="O14" s="10">
        <v>0.4083471226328369</v>
      </c>
      <c r="P14" s="8">
        <v>0.99519999999999997</v>
      </c>
      <c r="Q14" s="2"/>
    </row>
    <row r="15" spans="1:17" x14ac:dyDescent="0.35">
      <c r="A15" s="2" t="s">
        <v>8</v>
      </c>
      <c r="B15" s="2" t="s">
        <v>4</v>
      </c>
      <c r="C15" s="2"/>
      <c r="D15" s="5">
        <v>25590</v>
      </c>
      <c r="E15" s="5">
        <v>15498</v>
      </c>
      <c r="F15" s="5">
        <v>15453</v>
      </c>
      <c r="G15">
        <v>2.9</v>
      </c>
      <c r="H15" s="5">
        <f t="shared" si="0"/>
        <v>25590</v>
      </c>
      <c r="I15" s="2">
        <v>1</v>
      </c>
      <c r="J15">
        <v>88.35</v>
      </c>
      <c r="K15" s="5">
        <v>28336</v>
      </c>
      <c r="L15" s="9">
        <f t="shared" si="1"/>
        <v>-9.6908526256352379E-2</v>
      </c>
      <c r="M15" s="6">
        <v>3729.56</v>
      </c>
      <c r="N15" s="10">
        <v>2.611518915866742E-3</v>
      </c>
      <c r="O15" s="10">
        <v>0.50088226990400908</v>
      </c>
      <c r="P15" s="8">
        <v>0.99260000000000004</v>
      </c>
      <c r="Q15" s="2"/>
    </row>
    <row r="16" spans="1:17" x14ac:dyDescent="0.35">
      <c r="A16" s="2" t="s">
        <v>23</v>
      </c>
      <c r="B16" s="2" t="s">
        <v>23</v>
      </c>
      <c r="C16" s="2"/>
      <c r="D16" s="5">
        <v>31983</v>
      </c>
      <c r="E16" s="5">
        <v>15026</v>
      </c>
      <c r="F16" s="5">
        <v>15012</v>
      </c>
      <c r="G16">
        <v>5.22</v>
      </c>
      <c r="H16" s="5">
        <f t="shared" si="0"/>
        <v>31983</v>
      </c>
      <c r="I16" s="2">
        <v>1</v>
      </c>
      <c r="J16">
        <v>61.23</v>
      </c>
      <c r="K16" s="5">
        <v>31052</v>
      </c>
      <c r="L16" s="9">
        <f t="shared" si="1"/>
        <v>2.998196573489631E-2</v>
      </c>
      <c r="M16" s="6">
        <v>1600.36</v>
      </c>
      <c r="N16" s="10">
        <v>6.1187685173257761E-3</v>
      </c>
      <c r="O16" s="10">
        <v>0.60788355017390183</v>
      </c>
      <c r="P16" s="8">
        <v>0.9840000000000001</v>
      </c>
      <c r="Q16" s="2"/>
    </row>
    <row r="17" spans="1:17" x14ac:dyDescent="0.35">
      <c r="A17" s="2" t="s">
        <v>9</v>
      </c>
      <c r="B17" s="2" t="s">
        <v>4</v>
      </c>
      <c r="C17" s="2"/>
      <c r="D17" s="5">
        <v>5001</v>
      </c>
      <c r="E17" s="5">
        <v>2328</v>
      </c>
      <c r="F17" s="5">
        <v>2312</v>
      </c>
      <c r="G17">
        <v>1.9</v>
      </c>
      <c r="H17" s="5">
        <f t="shared" si="0"/>
        <v>5001</v>
      </c>
      <c r="I17" s="2">
        <v>1</v>
      </c>
      <c r="J17">
        <v>26.35</v>
      </c>
      <c r="K17" s="5">
        <v>5156</v>
      </c>
      <c r="L17" s="9">
        <f t="shared" si="1"/>
        <v>-3.0062063615205581E-2</v>
      </c>
      <c r="M17" s="6">
        <v>2119.34</v>
      </c>
      <c r="N17" s="10">
        <v>3.1031807602792862E-3</v>
      </c>
      <c r="O17" s="10">
        <v>0.56982156710628395</v>
      </c>
      <c r="P17" s="8">
        <v>0.98970000000000002</v>
      </c>
      <c r="Q17" s="2"/>
    </row>
    <row r="18" spans="1:17" x14ac:dyDescent="0.35">
      <c r="A18" s="2" t="s">
        <v>41</v>
      </c>
      <c r="B18" s="2" t="s">
        <v>41</v>
      </c>
      <c r="C18" s="2"/>
      <c r="D18" s="5">
        <v>65618</v>
      </c>
      <c r="E18" s="5">
        <v>26742</v>
      </c>
      <c r="F18" s="5">
        <v>26617</v>
      </c>
      <c r="G18">
        <v>14.69</v>
      </c>
      <c r="H18" s="5">
        <f t="shared" si="0"/>
        <v>65618</v>
      </c>
      <c r="I18" s="2">
        <v>1</v>
      </c>
      <c r="J18">
        <v>44.67</v>
      </c>
      <c r="K18" s="5">
        <v>73178</v>
      </c>
      <c r="L18" s="9">
        <f t="shared" si="1"/>
        <v>-0.1033097378993687</v>
      </c>
      <c r="M18" s="6">
        <v>1109.8699999999999</v>
      </c>
      <c r="N18" s="10">
        <v>9.5383858536718692E-3</v>
      </c>
      <c r="O18" s="10">
        <v>0.57517286616196128</v>
      </c>
      <c r="P18" s="8">
        <v>0.97</v>
      </c>
      <c r="Q18" s="2"/>
    </row>
    <row r="19" spans="1:17" x14ac:dyDescent="0.35">
      <c r="A19" s="2" t="s">
        <v>60</v>
      </c>
      <c r="B19" s="2" t="s">
        <v>61</v>
      </c>
      <c r="C19" s="2"/>
      <c r="D19" s="5">
        <v>13501</v>
      </c>
      <c r="E19" s="5">
        <v>5270</v>
      </c>
      <c r="F19" s="5">
        <v>5260</v>
      </c>
      <c r="G19">
        <v>10.44</v>
      </c>
      <c r="H19" s="5">
        <f t="shared" si="0"/>
        <v>13501</v>
      </c>
      <c r="I19" s="2">
        <v>1</v>
      </c>
      <c r="J19">
        <v>12.93</v>
      </c>
      <c r="K19" s="5">
        <v>12876</v>
      </c>
      <c r="L19" s="9">
        <f t="shared" si="1"/>
        <v>4.8539919229574346E-2</v>
      </c>
      <c r="M19" s="6">
        <v>1196.67</v>
      </c>
      <c r="N19" s="10">
        <v>8.5430257844050939E-3</v>
      </c>
      <c r="O19" s="10">
        <v>0.54791860826343586</v>
      </c>
      <c r="P19" s="8">
        <v>0.95239999999999991</v>
      </c>
      <c r="Q19" s="2"/>
    </row>
    <row r="20" spans="1:17" x14ac:dyDescent="0.35">
      <c r="A20" s="2" t="s">
        <v>10</v>
      </c>
      <c r="B20" s="2" t="s">
        <v>4</v>
      </c>
      <c r="C20" s="2"/>
      <c r="D20" s="5">
        <v>13723</v>
      </c>
      <c r="E20" s="5">
        <v>7376</v>
      </c>
      <c r="F20" s="5">
        <v>7368</v>
      </c>
      <c r="G20">
        <v>2.0299999999999998</v>
      </c>
      <c r="H20" s="5">
        <f t="shared" si="0"/>
        <v>13723</v>
      </c>
      <c r="I20" s="2">
        <v>1</v>
      </c>
      <c r="J20">
        <v>67.709999999999994</v>
      </c>
      <c r="K20" s="5">
        <v>13060</v>
      </c>
      <c r="L20" s="9">
        <f t="shared" si="1"/>
        <v>5.07656967840735E-2</v>
      </c>
      <c r="M20" s="6">
        <v>3519.61</v>
      </c>
      <c r="N20" s="10">
        <v>1.9908116385911178E-3</v>
      </c>
      <c r="O20" s="10">
        <v>0.49617151607963245</v>
      </c>
      <c r="P20" s="8">
        <v>0.99299999999999999</v>
      </c>
      <c r="Q20" s="2"/>
    </row>
    <row r="21" spans="1:17" x14ac:dyDescent="0.35">
      <c r="A21" s="2" t="s">
        <v>28</v>
      </c>
      <c r="B21" s="2" t="s">
        <v>23</v>
      </c>
      <c r="C21" s="2"/>
      <c r="D21" s="5">
        <v>11462</v>
      </c>
      <c r="E21" s="5">
        <v>4794</v>
      </c>
      <c r="F21" s="5">
        <v>4793</v>
      </c>
      <c r="G21">
        <v>3.22</v>
      </c>
      <c r="H21" s="5">
        <f t="shared" si="0"/>
        <v>11462</v>
      </c>
      <c r="I21" s="2">
        <v>1</v>
      </c>
      <c r="J21">
        <v>35.58</v>
      </c>
      <c r="K21" s="5">
        <v>9314</v>
      </c>
      <c r="L21" s="9">
        <f t="shared" si="1"/>
        <v>0.23062057118316504</v>
      </c>
      <c r="M21">
        <v>814.3</v>
      </c>
      <c r="N21" s="10">
        <v>1.342065707537041E-2</v>
      </c>
      <c r="O21" s="10">
        <v>0.5703242430749409</v>
      </c>
      <c r="P21" s="8">
        <v>0.94590000000000007</v>
      </c>
      <c r="Q21" s="2"/>
    </row>
    <row r="22" spans="1:17" x14ac:dyDescent="0.35">
      <c r="A22" s="2" t="s">
        <v>34</v>
      </c>
      <c r="B22" s="2" t="s">
        <v>34</v>
      </c>
      <c r="C22" s="2"/>
      <c r="D22" s="5">
        <v>90002</v>
      </c>
      <c r="E22" s="5">
        <v>36626</v>
      </c>
      <c r="F22" s="5">
        <v>36600</v>
      </c>
      <c r="G22">
        <v>11.78</v>
      </c>
      <c r="H22" s="5">
        <f t="shared" si="0"/>
        <v>90002</v>
      </c>
      <c r="I22" s="2">
        <v>1</v>
      </c>
      <c r="J22">
        <v>76.39</v>
      </c>
      <c r="K22" s="5">
        <v>96200</v>
      </c>
      <c r="L22" s="9">
        <f t="shared" si="1"/>
        <v>-6.4428274428274479E-2</v>
      </c>
      <c r="M22">
        <v>873.67</v>
      </c>
      <c r="N22" s="10">
        <v>1.2557172557172556E-2</v>
      </c>
      <c r="O22" s="10">
        <v>0.56711018711018713</v>
      </c>
      <c r="P22" s="8">
        <v>0.9536</v>
      </c>
      <c r="Q22" s="2"/>
    </row>
    <row r="23" spans="1:17" x14ac:dyDescent="0.35">
      <c r="A23" s="2" t="s">
        <v>62</v>
      </c>
      <c r="B23" s="2" t="s">
        <v>61</v>
      </c>
      <c r="C23" s="2"/>
      <c r="D23" s="5">
        <v>6887</v>
      </c>
      <c r="E23" s="5">
        <v>3620</v>
      </c>
      <c r="F23" s="5">
        <v>3602</v>
      </c>
      <c r="G23">
        <v>1.7</v>
      </c>
      <c r="H23" s="5">
        <f t="shared" si="0"/>
        <v>6887</v>
      </c>
      <c r="I23" s="2">
        <v>1</v>
      </c>
      <c r="J23">
        <v>40.57</v>
      </c>
      <c r="K23" s="5">
        <v>7326</v>
      </c>
      <c r="L23" s="9">
        <f t="shared" si="1"/>
        <v>-5.992355992355991E-2</v>
      </c>
      <c r="M23" s="6">
        <v>2287.19</v>
      </c>
      <c r="N23" s="10">
        <v>2.4570024570024569E-3</v>
      </c>
      <c r="O23" s="10">
        <v>0.56811356811356817</v>
      </c>
      <c r="P23" s="8">
        <v>0.98430000000000006</v>
      </c>
      <c r="Q23" s="2"/>
    </row>
    <row r="24" spans="1:17" x14ac:dyDescent="0.35">
      <c r="A24" s="2" t="s">
        <v>51</v>
      </c>
      <c r="B24" s="2" t="s">
        <v>50</v>
      </c>
      <c r="C24" s="7" t="s">
        <v>52</v>
      </c>
      <c r="D24" s="5">
        <v>32395</v>
      </c>
      <c r="E24" s="5">
        <v>14456</v>
      </c>
      <c r="F24" s="5">
        <v>14437</v>
      </c>
      <c r="G24">
        <v>8.57</v>
      </c>
      <c r="H24" s="5">
        <f t="shared" si="0"/>
        <v>32395</v>
      </c>
      <c r="I24" s="2">
        <v>1</v>
      </c>
      <c r="J24">
        <v>37.799999999999997</v>
      </c>
      <c r="K24" s="5">
        <v>28816</v>
      </c>
      <c r="L24" s="9">
        <f t="shared" si="1"/>
        <v>0.1242018323153804</v>
      </c>
      <c r="M24" s="6">
        <v>1784.4</v>
      </c>
      <c r="N24" s="10">
        <v>8.2593003886729591E-3</v>
      </c>
      <c r="O24" s="10">
        <v>0.55927262631871177</v>
      </c>
      <c r="P24" s="8">
        <v>0.96889999999999998</v>
      </c>
      <c r="Q24" s="2"/>
    </row>
    <row r="25" spans="1:17" x14ac:dyDescent="0.35">
      <c r="A25" s="2" t="s">
        <v>80</v>
      </c>
      <c r="B25" s="2" t="s">
        <v>81</v>
      </c>
      <c r="C25" s="2"/>
      <c r="D25" s="5">
        <v>40633</v>
      </c>
      <c r="E25" s="5">
        <v>16365</v>
      </c>
      <c r="F25" s="5">
        <v>16363</v>
      </c>
      <c r="G25">
        <v>21.58</v>
      </c>
      <c r="H25" s="5">
        <f t="shared" si="0"/>
        <v>40633</v>
      </c>
      <c r="I25" s="2">
        <v>1</v>
      </c>
      <c r="J25">
        <v>18.829999999999998</v>
      </c>
      <c r="K25" s="5">
        <v>26657</v>
      </c>
      <c r="L25" s="9">
        <f t="shared" si="1"/>
        <v>0.52429005514499005</v>
      </c>
      <c r="M25">
        <v>627.14</v>
      </c>
      <c r="N25" s="10">
        <v>1.3167273136511986E-2</v>
      </c>
      <c r="O25" s="10">
        <v>0.53156769328881714</v>
      </c>
      <c r="P25" s="8">
        <v>0.97439999999999993</v>
      </c>
      <c r="Q25" s="2"/>
    </row>
    <row r="26" spans="1:17" x14ac:dyDescent="0.35">
      <c r="A26" s="2" t="s">
        <v>35</v>
      </c>
      <c r="B26" s="2" t="s">
        <v>34</v>
      </c>
      <c r="C26" s="2"/>
      <c r="D26" s="5">
        <v>18147</v>
      </c>
      <c r="E26" s="5">
        <v>7872</v>
      </c>
      <c r="F26" s="5">
        <v>7860</v>
      </c>
      <c r="G26">
        <v>3.25</v>
      </c>
      <c r="H26" s="5">
        <f t="shared" si="0"/>
        <v>18147</v>
      </c>
      <c r="I26" s="2">
        <v>1</v>
      </c>
      <c r="J26">
        <v>55.85</v>
      </c>
      <c r="K26" s="5">
        <v>20473</v>
      </c>
      <c r="L26" s="9">
        <f t="shared" si="1"/>
        <v>-0.11361305133590582</v>
      </c>
      <c r="M26" s="6">
        <v>1253.43</v>
      </c>
      <c r="N26" s="10">
        <v>7.4244126410394178E-3</v>
      </c>
      <c r="O26" s="10">
        <v>0.60406388902456898</v>
      </c>
      <c r="P26" s="8">
        <v>0.97840000000000005</v>
      </c>
      <c r="Q26" s="2"/>
    </row>
    <row r="27" spans="1:17" x14ac:dyDescent="0.35">
      <c r="A27" s="2" t="s">
        <v>44</v>
      </c>
      <c r="B27" s="2" t="s">
        <v>45</v>
      </c>
      <c r="C27" s="2"/>
      <c r="D27" s="5">
        <v>37852</v>
      </c>
      <c r="E27" s="5">
        <v>17127</v>
      </c>
      <c r="F27" s="5">
        <v>17099</v>
      </c>
      <c r="G27">
        <v>5.05</v>
      </c>
      <c r="H27" s="5">
        <f t="shared" si="0"/>
        <v>37852</v>
      </c>
      <c r="I27" s="2">
        <v>1</v>
      </c>
      <c r="J27">
        <v>74.959999999999994</v>
      </c>
      <c r="K27" s="5">
        <v>36065</v>
      </c>
      <c r="L27" s="9">
        <f t="shared" si="1"/>
        <v>4.9549424649937723E-2</v>
      </c>
      <c r="M27" s="6">
        <v>1127.82</v>
      </c>
      <c r="N27" s="10">
        <v>6.7932898932483018E-3</v>
      </c>
      <c r="O27" s="10">
        <v>0.60260640510189933</v>
      </c>
      <c r="P27" s="8">
        <v>0.97589999999999999</v>
      </c>
      <c r="Q27" s="2"/>
    </row>
    <row r="28" spans="1:17" x14ac:dyDescent="0.35">
      <c r="A28" s="2" t="s">
        <v>63</v>
      </c>
      <c r="B28" s="2" t="s">
        <v>61</v>
      </c>
      <c r="C28" s="2"/>
      <c r="D28" s="5">
        <v>2160</v>
      </c>
      <c r="E28">
        <v>907</v>
      </c>
      <c r="F28">
        <v>906</v>
      </c>
      <c r="G28">
        <v>2.1800000000000002</v>
      </c>
      <c r="H28" s="5">
        <f t="shared" si="0"/>
        <v>2160</v>
      </c>
      <c r="I28" s="2">
        <v>1</v>
      </c>
      <c r="J28">
        <v>9.9</v>
      </c>
      <c r="K28" s="5">
        <v>2161</v>
      </c>
      <c r="L28" s="9">
        <f t="shared" si="1"/>
        <v>-4.6274872744100914E-4</v>
      </c>
      <c r="M28" s="6">
        <v>2222.34</v>
      </c>
      <c r="N28" s="10">
        <v>7.4039796390559928E-3</v>
      </c>
      <c r="O28" s="10">
        <v>0.55159648310967146</v>
      </c>
      <c r="P28" s="8">
        <v>0.98199999999999998</v>
      </c>
      <c r="Q28" s="2"/>
    </row>
    <row r="29" spans="1:17" x14ac:dyDescent="0.35">
      <c r="A29" s="2" t="s">
        <v>82</v>
      </c>
      <c r="B29" s="2" t="s">
        <v>81</v>
      </c>
      <c r="C29" s="2"/>
      <c r="D29" s="5">
        <v>7288</v>
      </c>
      <c r="E29" s="5">
        <v>2948</v>
      </c>
      <c r="F29" s="5">
        <v>2947</v>
      </c>
      <c r="G29">
        <v>8.2200000000000006</v>
      </c>
      <c r="H29" s="5">
        <f t="shared" si="0"/>
        <v>7288</v>
      </c>
      <c r="I29" s="2">
        <v>1</v>
      </c>
      <c r="J29">
        <v>8.8699999999999992</v>
      </c>
      <c r="K29" s="5">
        <v>2522</v>
      </c>
      <c r="L29" s="9">
        <f t="shared" si="1"/>
        <v>1.8897700237906423</v>
      </c>
      <c r="M29">
        <v>559.51</v>
      </c>
      <c r="N29" s="10">
        <v>1.8239492466296591E-2</v>
      </c>
      <c r="O29" s="10">
        <v>0.49286280729579701</v>
      </c>
      <c r="P29" s="8">
        <v>0.93389999999999995</v>
      </c>
      <c r="Q29" s="2"/>
    </row>
    <row r="30" spans="1:17" x14ac:dyDescent="0.35">
      <c r="A30" s="2" t="s">
        <v>11</v>
      </c>
      <c r="B30" s="2" t="s">
        <v>4</v>
      </c>
      <c r="C30" s="2"/>
      <c r="D30" s="5">
        <v>38671</v>
      </c>
      <c r="E30" s="5">
        <v>30635</v>
      </c>
      <c r="F30" s="5">
        <v>30389</v>
      </c>
      <c r="G30">
        <v>3.28</v>
      </c>
      <c r="H30" s="5">
        <f t="shared" si="0"/>
        <v>38671</v>
      </c>
      <c r="I30" s="2">
        <v>1</v>
      </c>
      <c r="J30">
        <v>117.79</v>
      </c>
      <c r="K30" s="5">
        <v>37283</v>
      </c>
      <c r="L30" s="9">
        <f t="shared" si="1"/>
        <v>3.7228763779738827E-2</v>
      </c>
      <c r="M30" s="6">
        <v>2393.4899999999998</v>
      </c>
      <c r="N30" s="10">
        <v>3.5136657457822602E-3</v>
      </c>
      <c r="O30" s="10">
        <v>0.63213797172974273</v>
      </c>
      <c r="P30" s="8">
        <v>0.99040000000000006</v>
      </c>
      <c r="Q30" s="2"/>
    </row>
    <row r="31" spans="1:17" x14ac:dyDescent="0.35">
      <c r="A31" s="2" t="s">
        <v>12</v>
      </c>
      <c r="B31" s="2" t="s">
        <v>4</v>
      </c>
      <c r="C31" s="2"/>
      <c r="D31" s="5">
        <v>4473</v>
      </c>
      <c r="E31" s="5">
        <v>3043</v>
      </c>
      <c r="F31" s="5">
        <v>3039</v>
      </c>
      <c r="G31">
        <v>0.95</v>
      </c>
      <c r="H31" s="5">
        <f t="shared" si="0"/>
        <v>4473</v>
      </c>
      <c r="I31" s="2">
        <v>1</v>
      </c>
      <c r="J31">
        <v>47.22</v>
      </c>
      <c r="K31" s="5">
        <v>4783</v>
      </c>
      <c r="L31" s="9">
        <f t="shared" si="1"/>
        <v>-6.4812878946268082E-2</v>
      </c>
      <c r="M31" s="6">
        <v>3170.22</v>
      </c>
      <c r="N31" s="10">
        <v>3.5542546518921177E-3</v>
      </c>
      <c r="O31" s="10">
        <v>0.57746184403094292</v>
      </c>
      <c r="P31" s="8">
        <v>0.99309999999999998</v>
      </c>
      <c r="Q31" s="2"/>
    </row>
    <row r="32" spans="1:17" x14ac:dyDescent="0.35">
      <c r="A32" s="2" t="s">
        <v>73</v>
      </c>
      <c r="B32" s="2" t="s">
        <v>72</v>
      </c>
      <c r="C32" s="2"/>
      <c r="D32" s="5">
        <v>172510</v>
      </c>
      <c r="E32" s="5">
        <v>71481</v>
      </c>
      <c r="F32" s="5">
        <v>71448</v>
      </c>
      <c r="G32">
        <v>44.27</v>
      </c>
      <c r="H32" s="5">
        <f t="shared" si="0"/>
        <v>172510</v>
      </c>
      <c r="I32" s="2">
        <v>1</v>
      </c>
      <c r="J32">
        <v>38.96</v>
      </c>
      <c r="K32" s="5">
        <v>172822</v>
      </c>
      <c r="L32" s="9">
        <f t="shared" si="1"/>
        <v>-1.8053257108470167E-3</v>
      </c>
      <c r="M32">
        <v>779.67</v>
      </c>
      <c r="N32" s="10">
        <v>1.1480019904873223E-2</v>
      </c>
      <c r="O32" s="10">
        <v>0.56881647012533132</v>
      </c>
      <c r="P32" s="8">
        <v>0.95569999999999988</v>
      </c>
      <c r="Q32" s="2"/>
    </row>
    <row r="33" spans="1:17" x14ac:dyDescent="0.35">
      <c r="A33" s="2" t="s">
        <v>13</v>
      </c>
      <c r="B33" s="2" t="s">
        <v>4</v>
      </c>
      <c r="C33" s="2"/>
      <c r="D33" s="5">
        <v>17604</v>
      </c>
      <c r="E33" s="5">
        <v>10328</v>
      </c>
      <c r="F33" s="5">
        <v>10317</v>
      </c>
      <c r="G33">
        <v>1.45</v>
      </c>
      <c r="H33" s="5">
        <f t="shared" si="0"/>
        <v>17604</v>
      </c>
      <c r="I33" s="2">
        <v>1</v>
      </c>
      <c r="J33">
        <v>121.66</v>
      </c>
      <c r="K33" s="5">
        <v>13795</v>
      </c>
      <c r="L33" s="9">
        <f t="shared" si="1"/>
        <v>0.27611453425154031</v>
      </c>
      <c r="M33" s="6">
        <v>2856.15</v>
      </c>
      <c r="N33" s="10">
        <v>2.2471910112359553E-3</v>
      </c>
      <c r="O33" s="10">
        <v>0.57578832910474809</v>
      </c>
      <c r="P33" s="8">
        <v>0.99480000000000002</v>
      </c>
      <c r="Q33" s="2"/>
    </row>
    <row r="34" spans="1:17" x14ac:dyDescent="0.35">
      <c r="A34" s="2" t="s">
        <v>46</v>
      </c>
      <c r="B34" s="2" t="s">
        <v>45</v>
      </c>
      <c r="C34" s="2"/>
      <c r="D34" s="5">
        <v>8397</v>
      </c>
      <c r="E34" s="5">
        <v>3716</v>
      </c>
      <c r="F34" s="5">
        <v>3716</v>
      </c>
      <c r="G34">
        <v>2.02</v>
      </c>
      <c r="H34" s="5">
        <f t="shared" si="0"/>
        <v>8397</v>
      </c>
      <c r="I34" s="2">
        <v>1</v>
      </c>
      <c r="J34">
        <v>41.6</v>
      </c>
      <c r="K34" s="5">
        <v>8415</v>
      </c>
      <c r="L34" s="9">
        <f t="shared" si="1"/>
        <v>-2.1390374331551332E-3</v>
      </c>
      <c r="M34" s="6">
        <v>1308.01</v>
      </c>
      <c r="N34" s="10">
        <v>6.1794414735591207E-3</v>
      </c>
      <c r="O34" s="10">
        <v>0.60285204991087349</v>
      </c>
      <c r="P34" s="8">
        <v>0.98340000000000005</v>
      </c>
      <c r="Q34" s="2"/>
    </row>
    <row r="35" spans="1:17" x14ac:dyDescent="0.35">
      <c r="A35" s="2" t="s">
        <v>53</v>
      </c>
      <c r="B35" s="2" t="s">
        <v>50</v>
      </c>
      <c r="C35" s="2"/>
      <c r="D35" s="5">
        <v>25380</v>
      </c>
      <c r="E35" s="5">
        <v>10727</v>
      </c>
      <c r="F35" s="5">
        <v>10721</v>
      </c>
      <c r="G35">
        <v>3.72</v>
      </c>
      <c r="H35" s="5">
        <f t="shared" ref="H35:H66" si="2">D35</f>
        <v>25380</v>
      </c>
      <c r="I35" s="2">
        <v>1</v>
      </c>
      <c r="J35">
        <v>68.16</v>
      </c>
      <c r="K35" s="5">
        <v>28074</v>
      </c>
      <c r="L35" s="9">
        <f t="shared" ref="L35:L66" si="3">((D35*1)/K35)-1</f>
        <v>-9.5960675357982472E-2</v>
      </c>
      <c r="M35">
        <v>984.18</v>
      </c>
      <c r="N35" s="10">
        <v>7.6227114055709908E-3</v>
      </c>
      <c r="O35" s="10">
        <v>0.60009261238156297</v>
      </c>
      <c r="P35" s="8">
        <v>0.96360000000000001</v>
      </c>
      <c r="Q35" s="2"/>
    </row>
    <row r="36" spans="1:17" x14ac:dyDescent="0.35">
      <c r="A36" s="2" t="s">
        <v>76</v>
      </c>
      <c r="B36" s="2" t="s">
        <v>77</v>
      </c>
      <c r="C36" s="2"/>
      <c r="D36" s="5">
        <v>19045</v>
      </c>
      <c r="E36" s="5">
        <v>7243</v>
      </c>
      <c r="F36" s="5">
        <v>7240</v>
      </c>
      <c r="G36">
        <v>11.66</v>
      </c>
      <c r="H36" s="5">
        <f t="shared" si="2"/>
        <v>19045</v>
      </c>
      <c r="I36" s="2">
        <v>1</v>
      </c>
      <c r="J36">
        <v>16.329999999999998</v>
      </c>
      <c r="K36" s="5">
        <v>11178</v>
      </c>
      <c r="L36" s="9">
        <f t="shared" si="3"/>
        <v>0.70379316514582224</v>
      </c>
      <c r="M36">
        <v>615.91</v>
      </c>
      <c r="N36" s="10">
        <v>2.2275899087493289E-2</v>
      </c>
      <c r="O36" s="10">
        <v>0.5038468420110932</v>
      </c>
      <c r="P36" s="8">
        <v>0.93610000000000004</v>
      </c>
      <c r="Q36" s="2"/>
    </row>
    <row r="37" spans="1:17" x14ac:dyDescent="0.35">
      <c r="A37" s="2" t="s">
        <v>36</v>
      </c>
      <c r="B37" s="2" t="s">
        <v>34</v>
      </c>
      <c r="C37" s="2"/>
      <c r="D37" s="5">
        <v>10650</v>
      </c>
      <c r="E37" s="5">
        <v>4571</v>
      </c>
      <c r="F37" s="5">
        <v>4561</v>
      </c>
      <c r="G37">
        <v>2.65</v>
      </c>
      <c r="H37" s="5">
        <f t="shared" si="2"/>
        <v>10650</v>
      </c>
      <c r="I37" s="2">
        <v>1</v>
      </c>
      <c r="J37">
        <v>40.119999999999997</v>
      </c>
      <c r="K37" s="5">
        <v>11461</v>
      </c>
      <c r="L37" s="9">
        <f t="shared" si="3"/>
        <v>-7.0761713637553458E-2</v>
      </c>
      <c r="M37" s="6">
        <v>1746.35</v>
      </c>
      <c r="N37" s="10">
        <v>6.2821743303376667E-3</v>
      </c>
      <c r="O37" s="10">
        <v>0.56120757351016493</v>
      </c>
      <c r="P37" s="8">
        <v>0.98199999999999998</v>
      </c>
      <c r="Q37" s="2"/>
    </row>
    <row r="38" spans="1:17" x14ac:dyDescent="0.35">
      <c r="A38" s="2" t="s">
        <v>54</v>
      </c>
      <c r="B38" s="2" t="s">
        <v>50</v>
      </c>
      <c r="C38" s="2"/>
      <c r="D38" s="5">
        <v>14791</v>
      </c>
      <c r="E38" s="5">
        <v>6398</v>
      </c>
      <c r="F38" s="5">
        <v>6389</v>
      </c>
      <c r="G38">
        <v>2.31</v>
      </c>
      <c r="H38" s="5">
        <f t="shared" si="2"/>
        <v>14791</v>
      </c>
      <c r="I38" s="2">
        <v>1</v>
      </c>
      <c r="J38">
        <v>63.99</v>
      </c>
      <c r="K38" s="5">
        <v>14904</v>
      </c>
      <c r="L38" s="9">
        <f t="shared" si="3"/>
        <v>-7.5818572195384126E-3</v>
      </c>
      <c r="M38" s="6">
        <v>1191.3399999999999</v>
      </c>
      <c r="N38" s="10">
        <v>9.6618357487922701E-3</v>
      </c>
      <c r="O38" s="10">
        <v>0.58407139023081056</v>
      </c>
      <c r="P38" s="8">
        <v>0.96790000000000009</v>
      </c>
      <c r="Q38" s="2"/>
    </row>
    <row r="39" spans="1:17" x14ac:dyDescent="0.35">
      <c r="A39" s="2" t="s">
        <v>42</v>
      </c>
      <c r="B39" s="2" t="s">
        <v>41</v>
      </c>
      <c r="C39" s="2"/>
      <c r="D39" s="5">
        <v>11846</v>
      </c>
      <c r="E39" s="5">
        <v>5584</v>
      </c>
      <c r="F39" s="5">
        <v>5570</v>
      </c>
      <c r="G39">
        <v>3.99</v>
      </c>
      <c r="H39" s="5">
        <f t="shared" si="2"/>
        <v>11846</v>
      </c>
      <c r="I39" s="2">
        <v>1</v>
      </c>
      <c r="J39">
        <v>29.69</v>
      </c>
      <c r="K39" s="5">
        <v>13315</v>
      </c>
      <c r="L39" s="9">
        <f t="shared" si="3"/>
        <v>-0.11032669921141569</v>
      </c>
      <c r="M39" s="6">
        <v>1336.02</v>
      </c>
      <c r="N39" s="10">
        <v>6.9095005632745024E-3</v>
      </c>
      <c r="O39" s="10">
        <v>0.60195268494179499</v>
      </c>
      <c r="P39" s="8">
        <v>0.98060000000000003</v>
      </c>
      <c r="Q39" s="2"/>
    </row>
    <row r="40" spans="1:17" x14ac:dyDescent="0.35">
      <c r="A40" s="2" t="s">
        <v>14</v>
      </c>
      <c r="B40" s="2" t="s">
        <v>4</v>
      </c>
      <c r="C40" s="2"/>
      <c r="D40" s="5">
        <v>4177</v>
      </c>
      <c r="E40" s="5">
        <v>1957</v>
      </c>
      <c r="F40" s="5">
        <v>1952</v>
      </c>
      <c r="G40">
        <v>1.18</v>
      </c>
      <c r="H40" s="5">
        <f t="shared" si="2"/>
        <v>4177</v>
      </c>
      <c r="I40" s="2">
        <v>1</v>
      </c>
      <c r="J40">
        <v>35.270000000000003</v>
      </c>
      <c r="K40" s="5">
        <v>3392</v>
      </c>
      <c r="L40" s="9">
        <f t="shared" si="3"/>
        <v>0.23142688679245293</v>
      </c>
      <c r="M40" s="6">
        <v>3143.61</v>
      </c>
      <c r="N40" s="10">
        <v>3.5377358490566039E-3</v>
      </c>
      <c r="O40" s="10">
        <v>0.49145047169811323</v>
      </c>
      <c r="P40" s="8">
        <v>0.99040000000000006</v>
      </c>
      <c r="Q40" s="2"/>
    </row>
    <row r="41" spans="1:17" x14ac:dyDescent="0.35">
      <c r="A41" s="2" t="s">
        <v>15</v>
      </c>
      <c r="B41" s="2" t="s">
        <v>4</v>
      </c>
      <c r="C41" s="2"/>
      <c r="D41" s="5">
        <v>5442</v>
      </c>
      <c r="E41" s="5">
        <v>2792</v>
      </c>
      <c r="F41" s="5">
        <v>2772</v>
      </c>
      <c r="G41">
        <v>2.76</v>
      </c>
      <c r="H41" s="5">
        <f t="shared" si="2"/>
        <v>5442</v>
      </c>
      <c r="I41" s="2">
        <v>1</v>
      </c>
      <c r="J41">
        <v>19.739999999999998</v>
      </c>
      <c r="K41" s="5">
        <v>6172</v>
      </c>
      <c r="L41" s="9">
        <f t="shared" si="3"/>
        <v>-0.11827608554763447</v>
      </c>
      <c r="M41" s="6">
        <v>1853.29</v>
      </c>
      <c r="N41" s="10">
        <v>1.3609850939727802E-2</v>
      </c>
      <c r="O41" s="10">
        <v>0.60191186001296171</v>
      </c>
      <c r="P41" s="8">
        <v>0.97340000000000004</v>
      </c>
      <c r="Q41" s="2"/>
    </row>
    <row r="42" spans="1:17" x14ac:dyDescent="0.35">
      <c r="A42" s="2" t="s">
        <v>37</v>
      </c>
      <c r="B42" s="2" t="s">
        <v>34</v>
      </c>
      <c r="C42" s="2"/>
      <c r="D42" s="5">
        <v>15059</v>
      </c>
      <c r="E42" s="5">
        <v>6157</v>
      </c>
      <c r="F42" s="5">
        <v>6126</v>
      </c>
      <c r="G42">
        <v>3.86</v>
      </c>
      <c r="H42" s="5">
        <f t="shared" si="2"/>
        <v>15059</v>
      </c>
      <c r="I42" s="2">
        <v>1</v>
      </c>
      <c r="J42">
        <v>39.020000000000003</v>
      </c>
      <c r="K42" s="5">
        <v>15313</v>
      </c>
      <c r="L42" s="9">
        <f t="shared" si="3"/>
        <v>-1.658721347874359E-2</v>
      </c>
      <c r="M42" s="6">
        <v>2164.6</v>
      </c>
      <c r="N42" s="10">
        <v>2.4162476327303597E-3</v>
      </c>
      <c r="O42" s="10">
        <v>0.54274146150329783</v>
      </c>
      <c r="P42" s="8">
        <v>0.98819999999999997</v>
      </c>
      <c r="Q42" s="2"/>
    </row>
    <row r="43" spans="1:17" x14ac:dyDescent="0.35">
      <c r="A43" s="2" t="s">
        <v>16</v>
      </c>
      <c r="B43" s="2" t="s">
        <v>4</v>
      </c>
      <c r="C43" s="2"/>
      <c r="D43" s="5">
        <v>4902</v>
      </c>
      <c r="E43" s="5">
        <v>2035</v>
      </c>
      <c r="F43" s="5">
        <v>2030</v>
      </c>
      <c r="G43">
        <v>1.96</v>
      </c>
      <c r="H43" s="5">
        <f t="shared" si="2"/>
        <v>4902</v>
      </c>
      <c r="I43" s="2">
        <v>1</v>
      </c>
      <c r="J43">
        <v>25.03</v>
      </c>
      <c r="K43" s="5">
        <v>5698</v>
      </c>
      <c r="L43" s="9">
        <f t="shared" si="3"/>
        <v>-0.13969813969813971</v>
      </c>
      <c r="M43" s="6">
        <v>3265.9</v>
      </c>
      <c r="N43" s="10">
        <v>1.4040014040014039E-3</v>
      </c>
      <c r="O43" s="10">
        <v>0.45840645840645838</v>
      </c>
      <c r="P43" s="8">
        <v>0.99439999999999995</v>
      </c>
      <c r="Q43" s="2"/>
    </row>
    <row r="44" spans="1:17" x14ac:dyDescent="0.35">
      <c r="A44" s="2" t="s">
        <v>17</v>
      </c>
      <c r="B44" s="2" t="s">
        <v>4</v>
      </c>
      <c r="C44" s="2"/>
      <c r="D44" s="5">
        <v>12001</v>
      </c>
      <c r="E44" s="5">
        <v>6530</v>
      </c>
      <c r="F44" s="5">
        <v>6513</v>
      </c>
      <c r="G44">
        <v>1.23</v>
      </c>
      <c r="H44" s="5">
        <f t="shared" si="2"/>
        <v>12001</v>
      </c>
      <c r="I44" s="2">
        <v>1</v>
      </c>
      <c r="J44">
        <v>97.4</v>
      </c>
      <c r="K44" s="5">
        <v>11582</v>
      </c>
      <c r="L44" s="9">
        <f t="shared" si="3"/>
        <v>3.6176826109480142E-2</v>
      </c>
      <c r="M44" s="6">
        <v>3323.66</v>
      </c>
      <c r="N44" s="10">
        <v>1.8131583491624935E-3</v>
      </c>
      <c r="O44" s="10">
        <v>0.51208772232774991</v>
      </c>
      <c r="P44" s="8">
        <v>0.98519999999999996</v>
      </c>
      <c r="Q44" s="2"/>
    </row>
    <row r="45" spans="1:17" x14ac:dyDescent="0.35">
      <c r="A45" s="2" t="s">
        <v>64</v>
      </c>
      <c r="B45" s="2" t="s">
        <v>61</v>
      </c>
      <c r="C45" s="2"/>
      <c r="D45" s="5">
        <v>1146</v>
      </c>
      <c r="E45">
        <v>485</v>
      </c>
      <c r="F45">
        <v>485</v>
      </c>
      <c r="G45">
        <v>3.51</v>
      </c>
      <c r="H45" s="5">
        <f t="shared" si="2"/>
        <v>1146</v>
      </c>
      <c r="I45" s="2">
        <v>1</v>
      </c>
      <c r="J45">
        <v>3.26</v>
      </c>
      <c r="K45" s="5">
        <v>1056</v>
      </c>
      <c r="L45" s="9">
        <f t="shared" si="3"/>
        <v>8.5227272727272707E-2</v>
      </c>
      <c r="M45">
        <v>815.34</v>
      </c>
      <c r="N45" s="10">
        <v>1.231060606060606E-2</v>
      </c>
      <c r="O45" s="10">
        <v>0.60416666666666663</v>
      </c>
      <c r="P45" s="8">
        <v>0.92959999999999998</v>
      </c>
      <c r="Q45" s="2"/>
    </row>
    <row r="46" spans="1:17" x14ac:dyDescent="0.35">
      <c r="A46" s="2" t="s">
        <v>47</v>
      </c>
      <c r="B46" s="2" t="s">
        <v>45</v>
      </c>
      <c r="C46" s="2"/>
      <c r="D46" s="5">
        <v>8336</v>
      </c>
      <c r="E46" s="5">
        <v>3697</v>
      </c>
      <c r="F46" s="5">
        <v>3697</v>
      </c>
      <c r="G46">
        <v>1.18</v>
      </c>
      <c r="H46" s="5">
        <f t="shared" si="2"/>
        <v>8336</v>
      </c>
      <c r="I46" s="2">
        <v>1</v>
      </c>
      <c r="J46">
        <v>70.540000000000006</v>
      </c>
      <c r="K46" s="5">
        <v>8584</v>
      </c>
      <c r="L46" s="9">
        <f t="shared" si="3"/>
        <v>-2.8890959925442661E-2</v>
      </c>
      <c r="M46">
        <v>978.59</v>
      </c>
      <c r="N46" s="10">
        <v>9.2031686859273074E-3</v>
      </c>
      <c r="O46" s="10">
        <v>0.59622553588070826</v>
      </c>
      <c r="P46" s="8">
        <v>0.96550000000000002</v>
      </c>
      <c r="Q46" s="2"/>
    </row>
    <row r="47" spans="1:17" x14ac:dyDescent="0.35">
      <c r="A47" s="2" t="s">
        <v>18</v>
      </c>
      <c r="B47" s="2" t="s">
        <v>4</v>
      </c>
      <c r="C47" s="2"/>
      <c r="D47" s="5">
        <v>12290</v>
      </c>
      <c r="E47" s="5">
        <v>6638</v>
      </c>
      <c r="F47" s="5">
        <v>6625</v>
      </c>
      <c r="G47">
        <v>3.59</v>
      </c>
      <c r="H47" s="5">
        <f t="shared" si="2"/>
        <v>12290</v>
      </c>
      <c r="I47" s="2">
        <v>1</v>
      </c>
      <c r="J47">
        <v>34.200000000000003</v>
      </c>
      <c r="K47" s="5">
        <v>12907</v>
      </c>
      <c r="L47" s="9">
        <f t="shared" si="3"/>
        <v>-4.7803517471139645E-2</v>
      </c>
      <c r="M47" s="6">
        <v>2236.09</v>
      </c>
      <c r="N47" s="10">
        <v>3.8738668939335245E-3</v>
      </c>
      <c r="O47" s="10">
        <v>0.58402417292941811</v>
      </c>
      <c r="P47" s="8">
        <v>0.99019999999999997</v>
      </c>
      <c r="Q47" s="2"/>
    </row>
    <row r="48" spans="1:17" x14ac:dyDescent="0.35">
      <c r="A48" s="2" t="s">
        <v>65</v>
      </c>
      <c r="B48" s="2" t="s">
        <v>61</v>
      </c>
      <c r="C48" s="2"/>
      <c r="D48" s="5">
        <v>12246</v>
      </c>
      <c r="E48" s="5">
        <v>5349</v>
      </c>
      <c r="F48" s="5">
        <v>5343</v>
      </c>
      <c r="G48">
        <v>3.37</v>
      </c>
      <c r="H48" s="5">
        <f t="shared" si="2"/>
        <v>12246</v>
      </c>
      <c r="I48" s="2">
        <v>1</v>
      </c>
      <c r="J48">
        <v>36.39</v>
      </c>
      <c r="K48" s="5">
        <v>9664</v>
      </c>
      <c r="L48" s="9">
        <f t="shared" si="3"/>
        <v>0.26717715231788075</v>
      </c>
      <c r="M48" s="6">
        <v>3583.9</v>
      </c>
      <c r="N48" s="10">
        <v>6.0016556291390731E-3</v>
      </c>
      <c r="O48" s="10">
        <v>0.44143211920529801</v>
      </c>
      <c r="P48" s="8">
        <v>0.98419999999999996</v>
      </c>
      <c r="Q48" s="2"/>
    </row>
    <row r="49" spans="1:17" x14ac:dyDescent="0.35">
      <c r="A49" s="2" t="s">
        <v>48</v>
      </c>
      <c r="B49" s="2" t="s">
        <v>45</v>
      </c>
      <c r="C49" s="2"/>
      <c r="D49" s="5">
        <v>42073</v>
      </c>
      <c r="E49" s="5">
        <v>19597</v>
      </c>
      <c r="F49" s="5">
        <v>19582</v>
      </c>
      <c r="G49">
        <v>5.95</v>
      </c>
      <c r="H49" s="5">
        <f t="shared" si="2"/>
        <v>42073</v>
      </c>
      <c r="I49" s="2">
        <v>1</v>
      </c>
      <c r="J49">
        <v>70.73</v>
      </c>
      <c r="K49" s="5">
        <v>44063</v>
      </c>
      <c r="L49" s="9">
        <f t="shared" si="3"/>
        <v>-4.5162608083879952E-2</v>
      </c>
      <c r="M49" s="6">
        <v>1231.25</v>
      </c>
      <c r="N49" s="10">
        <v>6.9219072691373718E-3</v>
      </c>
      <c r="O49" s="10">
        <v>0.59825704105485333</v>
      </c>
      <c r="P49" s="8">
        <v>0.9706999999999999</v>
      </c>
      <c r="Q49" s="2"/>
    </row>
    <row r="50" spans="1:17" x14ac:dyDescent="0.35">
      <c r="A50" s="2" t="s">
        <v>66</v>
      </c>
      <c r="B50" s="2" t="s">
        <v>61</v>
      </c>
      <c r="C50" s="2"/>
      <c r="D50" s="5">
        <v>8261</v>
      </c>
      <c r="E50" s="5">
        <v>3331</v>
      </c>
      <c r="F50" s="5">
        <v>3329</v>
      </c>
      <c r="G50">
        <v>5.12</v>
      </c>
      <c r="H50" s="5">
        <f t="shared" si="2"/>
        <v>8261</v>
      </c>
      <c r="I50" s="2">
        <v>1</v>
      </c>
      <c r="J50">
        <v>16.13</v>
      </c>
      <c r="K50" s="5">
        <v>8105</v>
      </c>
      <c r="L50" s="9">
        <f t="shared" si="3"/>
        <v>1.9247378161628692E-2</v>
      </c>
      <c r="M50" s="6">
        <v>1344.47</v>
      </c>
      <c r="N50" s="10">
        <v>7.15607649599013E-3</v>
      </c>
      <c r="O50" s="10">
        <v>0.56372609500308457</v>
      </c>
      <c r="P50" s="8">
        <v>0.96970000000000001</v>
      </c>
      <c r="Q50" s="2"/>
    </row>
    <row r="51" spans="1:17" x14ac:dyDescent="0.35">
      <c r="A51" s="2" t="s">
        <v>55</v>
      </c>
      <c r="B51" s="2" t="s">
        <v>50</v>
      </c>
      <c r="C51" s="2"/>
      <c r="D51" s="5">
        <v>9925</v>
      </c>
      <c r="E51" s="5">
        <v>4127</v>
      </c>
      <c r="F51" s="5">
        <v>4117</v>
      </c>
      <c r="G51">
        <v>2.2599999999999998</v>
      </c>
      <c r="H51" s="5">
        <f t="shared" si="2"/>
        <v>9925</v>
      </c>
      <c r="I51" s="2">
        <v>1</v>
      </c>
      <c r="J51">
        <v>43.95</v>
      </c>
      <c r="K51" s="5">
        <v>11554</v>
      </c>
      <c r="L51" s="9">
        <f t="shared" si="3"/>
        <v>-0.14099013328717325</v>
      </c>
      <c r="M51" s="6">
        <v>1184.42</v>
      </c>
      <c r="N51" s="10">
        <v>1.8954474640817034E-2</v>
      </c>
      <c r="O51" s="10">
        <v>0.53202354163060417</v>
      </c>
      <c r="P51" s="8">
        <v>0.94340000000000002</v>
      </c>
      <c r="Q51" s="2"/>
    </row>
    <row r="52" spans="1:17" x14ac:dyDescent="0.35">
      <c r="A52" s="2" t="s">
        <v>29</v>
      </c>
      <c r="B52" s="2" t="s">
        <v>23</v>
      </c>
      <c r="C52" s="2"/>
      <c r="D52" s="5">
        <v>27044</v>
      </c>
      <c r="E52" s="5">
        <v>11360</v>
      </c>
      <c r="F52" s="5">
        <v>11350</v>
      </c>
      <c r="G52">
        <v>7.1</v>
      </c>
      <c r="H52" s="5">
        <f t="shared" si="2"/>
        <v>27044</v>
      </c>
      <c r="I52" s="2">
        <v>1</v>
      </c>
      <c r="J52">
        <v>38.07</v>
      </c>
      <c r="K52" s="5">
        <v>28480</v>
      </c>
      <c r="L52" s="9">
        <f t="shared" si="3"/>
        <v>-5.0421348314606762E-2</v>
      </c>
      <c r="M52" s="6">
        <v>1272.1099999999999</v>
      </c>
      <c r="N52" s="10">
        <v>8.5323033707865176E-3</v>
      </c>
      <c r="O52" s="10">
        <v>0.56485252808988762</v>
      </c>
      <c r="P52" s="8">
        <v>0.9706999999999999</v>
      </c>
      <c r="Q52" s="2"/>
    </row>
    <row r="53" spans="1:17" x14ac:dyDescent="0.35">
      <c r="A53" s="2" t="s">
        <v>45</v>
      </c>
      <c r="B53" s="2" t="s">
        <v>45</v>
      </c>
      <c r="C53" s="2"/>
      <c r="D53" s="5">
        <v>56440</v>
      </c>
      <c r="E53" s="5">
        <v>24100</v>
      </c>
      <c r="F53" s="5">
        <v>24081</v>
      </c>
      <c r="G53">
        <v>10.51</v>
      </c>
      <c r="H53" s="5">
        <f t="shared" si="2"/>
        <v>56440</v>
      </c>
      <c r="I53" s="2">
        <v>1</v>
      </c>
      <c r="J53">
        <v>53.68</v>
      </c>
      <c r="K53" s="5">
        <v>50401</v>
      </c>
      <c r="L53" s="9">
        <f t="shared" si="3"/>
        <v>0.11981905120930136</v>
      </c>
      <c r="M53">
        <v>844.62</v>
      </c>
      <c r="N53" s="10">
        <v>1.2122775341759092E-2</v>
      </c>
      <c r="O53" s="10">
        <v>0.56111981905120933</v>
      </c>
      <c r="P53" s="8">
        <v>0.96050000000000002</v>
      </c>
      <c r="Q53" s="2"/>
    </row>
    <row r="54" spans="1:17" x14ac:dyDescent="0.35">
      <c r="A54" s="2" t="s">
        <v>56</v>
      </c>
      <c r="B54" s="2" t="s">
        <v>50</v>
      </c>
      <c r="C54" s="2"/>
      <c r="D54" s="5">
        <v>49180</v>
      </c>
      <c r="E54" s="5">
        <v>23839</v>
      </c>
      <c r="F54" s="5">
        <v>23820</v>
      </c>
      <c r="G54">
        <v>5.86</v>
      </c>
      <c r="H54" s="5">
        <f t="shared" si="2"/>
        <v>49180</v>
      </c>
      <c r="I54" s="2">
        <v>1</v>
      </c>
      <c r="J54">
        <v>83.95</v>
      </c>
      <c r="K54" s="5">
        <v>42662</v>
      </c>
      <c r="L54" s="9">
        <f t="shared" si="3"/>
        <v>0.15278233556795273</v>
      </c>
      <c r="M54" s="6">
        <v>1861.34</v>
      </c>
      <c r="N54" s="10">
        <v>4.172331348741269E-3</v>
      </c>
      <c r="O54" s="10">
        <v>0.58126670104542688</v>
      </c>
      <c r="P54" s="8">
        <v>0.98670000000000002</v>
      </c>
      <c r="Q54" s="2"/>
    </row>
    <row r="55" spans="1:17" x14ac:dyDescent="0.35">
      <c r="A55" s="2" t="s">
        <v>19</v>
      </c>
      <c r="B55" s="2" t="s">
        <v>4</v>
      </c>
      <c r="C55" s="2"/>
      <c r="D55" s="5">
        <v>4907</v>
      </c>
      <c r="E55" s="5">
        <v>2835</v>
      </c>
      <c r="F55" s="5">
        <v>2832</v>
      </c>
      <c r="G55">
        <v>2.4300000000000002</v>
      </c>
      <c r="H55" s="5">
        <f t="shared" si="2"/>
        <v>4907</v>
      </c>
      <c r="I55" s="2">
        <v>1</v>
      </c>
      <c r="J55">
        <v>20.16</v>
      </c>
      <c r="K55" s="5">
        <v>6077</v>
      </c>
      <c r="L55" s="9">
        <f t="shared" si="3"/>
        <v>-0.19252920849103172</v>
      </c>
      <c r="M55">
        <v>691.78</v>
      </c>
      <c r="N55" s="10">
        <v>2.3531347704459436E-2</v>
      </c>
      <c r="O55" s="10">
        <v>0.52493006417640287</v>
      </c>
      <c r="P55" s="8">
        <v>0.90290000000000004</v>
      </c>
      <c r="Q55" s="2"/>
    </row>
    <row r="56" spans="1:17" x14ac:dyDescent="0.35">
      <c r="A56" s="2" t="s">
        <v>20</v>
      </c>
      <c r="B56" s="2" t="s">
        <v>4</v>
      </c>
      <c r="C56" s="2"/>
      <c r="D56" s="5">
        <v>13799</v>
      </c>
      <c r="E56" s="5">
        <v>9361</v>
      </c>
      <c r="F56" s="5">
        <v>9339</v>
      </c>
      <c r="G56">
        <v>2.97</v>
      </c>
      <c r="H56" s="5">
        <f t="shared" si="2"/>
        <v>13799</v>
      </c>
      <c r="I56" s="2">
        <v>1</v>
      </c>
      <c r="J56">
        <v>46.52</v>
      </c>
      <c r="K56" s="5">
        <v>14888</v>
      </c>
      <c r="L56" s="9">
        <f t="shared" si="3"/>
        <v>-7.3146157979580906E-2</v>
      </c>
      <c r="M56" s="6">
        <v>2163.96</v>
      </c>
      <c r="N56" s="10">
        <v>5.4406233207952718E-3</v>
      </c>
      <c r="O56" s="10">
        <v>0.6239924771628157</v>
      </c>
      <c r="P56" s="8">
        <v>0.98959999999999992</v>
      </c>
      <c r="Q56" s="2"/>
    </row>
    <row r="57" spans="1:17" x14ac:dyDescent="0.35">
      <c r="A57" s="2" t="s">
        <v>74</v>
      </c>
      <c r="B57" s="2" t="s">
        <v>72</v>
      </c>
      <c r="C57" s="2"/>
      <c r="D57" s="5">
        <v>442</v>
      </c>
      <c r="E57">
        <v>171</v>
      </c>
      <c r="F57">
        <v>171</v>
      </c>
      <c r="G57">
        <v>2.44</v>
      </c>
      <c r="H57" s="5">
        <f t="shared" si="2"/>
        <v>442</v>
      </c>
      <c r="I57" s="2">
        <v>1</v>
      </c>
      <c r="J57">
        <v>1.81</v>
      </c>
      <c r="K57">
        <v>289</v>
      </c>
      <c r="L57" s="9">
        <f t="shared" si="3"/>
        <v>0.52941176470588225</v>
      </c>
      <c r="M57">
        <v>770.79</v>
      </c>
      <c r="N57" s="10">
        <v>6.920415224913495E-3</v>
      </c>
      <c r="O57" s="10">
        <v>0.55017301038062283</v>
      </c>
      <c r="P57" s="8">
        <v>0.93730000000000002</v>
      </c>
      <c r="Q57" s="2"/>
    </row>
    <row r="58" spans="1:17" x14ac:dyDescent="0.35">
      <c r="A58" s="2" t="s">
        <v>30</v>
      </c>
      <c r="B58" s="2" t="s">
        <v>23</v>
      </c>
      <c r="C58" s="2"/>
      <c r="D58" s="5">
        <v>40966</v>
      </c>
      <c r="E58" s="5">
        <v>18111</v>
      </c>
      <c r="F58" s="5">
        <v>18103</v>
      </c>
      <c r="G58">
        <v>10.19</v>
      </c>
      <c r="H58" s="5">
        <f t="shared" si="2"/>
        <v>40966</v>
      </c>
      <c r="I58" s="2">
        <v>1</v>
      </c>
      <c r="J58">
        <v>40.200000000000003</v>
      </c>
      <c r="K58" s="5">
        <v>32808</v>
      </c>
      <c r="L58" s="9">
        <f t="shared" si="3"/>
        <v>0.24865886369178258</v>
      </c>
      <c r="M58" s="6">
        <v>1050.1199999999999</v>
      </c>
      <c r="N58" s="10">
        <v>1.2009266032674958E-2</v>
      </c>
      <c r="O58" s="10">
        <v>0.59171543525969272</v>
      </c>
      <c r="P58" s="8">
        <v>0.96629999999999994</v>
      </c>
      <c r="Q58" s="2"/>
    </row>
    <row r="59" spans="1:17" x14ac:dyDescent="0.35">
      <c r="A59" s="2" t="s">
        <v>61</v>
      </c>
      <c r="B59" s="2" t="s">
        <v>61</v>
      </c>
      <c r="C59" s="2"/>
      <c r="D59" s="5">
        <v>32414</v>
      </c>
      <c r="E59" s="5">
        <v>13128</v>
      </c>
      <c r="F59" s="5">
        <v>13118</v>
      </c>
      <c r="G59">
        <v>12.18</v>
      </c>
      <c r="H59" s="5">
        <f t="shared" si="2"/>
        <v>32414</v>
      </c>
      <c r="I59" s="2">
        <v>1</v>
      </c>
      <c r="J59">
        <v>26.62</v>
      </c>
      <c r="K59" s="5">
        <v>31572</v>
      </c>
      <c r="L59" s="9">
        <f t="shared" si="3"/>
        <v>2.666920055745603E-2</v>
      </c>
      <c r="M59" s="6">
        <v>1652.46</v>
      </c>
      <c r="N59" s="10">
        <v>6.2397060686684401E-3</v>
      </c>
      <c r="O59" s="10">
        <v>0.55036107943747625</v>
      </c>
      <c r="P59" s="8">
        <v>0.97540000000000004</v>
      </c>
      <c r="Q59" s="2"/>
    </row>
    <row r="60" spans="1:17" x14ac:dyDescent="0.35">
      <c r="A60" s="2" t="s">
        <v>57</v>
      </c>
      <c r="B60" s="2" t="s">
        <v>50</v>
      </c>
      <c r="C60" s="2"/>
      <c r="D60" s="5">
        <v>10970</v>
      </c>
      <c r="E60" s="5">
        <v>4821</v>
      </c>
      <c r="F60" s="5">
        <v>4813</v>
      </c>
      <c r="G60">
        <v>2.1</v>
      </c>
      <c r="H60" s="5">
        <f t="shared" si="2"/>
        <v>10970</v>
      </c>
      <c r="I60" s="2">
        <v>1</v>
      </c>
      <c r="J60">
        <v>52.13</v>
      </c>
      <c r="K60" s="5">
        <v>12075</v>
      </c>
      <c r="L60" s="9">
        <f t="shared" si="3"/>
        <v>-9.1511387163561109E-2</v>
      </c>
      <c r="M60" s="6">
        <v>1462.02</v>
      </c>
      <c r="N60" s="10">
        <v>9.4409937888198757E-3</v>
      </c>
      <c r="O60" s="10">
        <v>0.59238095238095234</v>
      </c>
      <c r="P60" s="8">
        <v>0.96589999999999998</v>
      </c>
      <c r="Q60" s="2"/>
    </row>
    <row r="61" spans="1:17" x14ac:dyDescent="0.35">
      <c r="A61" s="2" t="s">
        <v>67</v>
      </c>
      <c r="B61" s="2" t="s">
        <v>61</v>
      </c>
      <c r="C61" s="2"/>
      <c r="D61" s="5">
        <v>6781</v>
      </c>
      <c r="E61" s="5">
        <v>2796</v>
      </c>
      <c r="F61" s="5">
        <v>2785</v>
      </c>
      <c r="G61">
        <v>3.36</v>
      </c>
      <c r="H61" s="5">
        <f t="shared" si="2"/>
        <v>6781</v>
      </c>
      <c r="I61" s="2">
        <v>1</v>
      </c>
      <c r="J61">
        <v>20.190000000000001</v>
      </c>
      <c r="K61" s="5">
        <v>6494</v>
      </c>
      <c r="L61" s="9">
        <f t="shared" si="3"/>
        <v>4.4194641207268237E-2</v>
      </c>
      <c r="M61" s="6">
        <v>1785.67</v>
      </c>
      <c r="N61" s="10">
        <v>7.8534031413612562E-3</v>
      </c>
      <c r="O61" s="10">
        <v>0.54511857098860483</v>
      </c>
      <c r="P61" s="8">
        <v>0.98269999999999991</v>
      </c>
      <c r="Q61" s="2"/>
    </row>
    <row r="62" spans="1:17" x14ac:dyDescent="0.35">
      <c r="A62" s="2" t="s">
        <v>68</v>
      </c>
      <c r="B62" s="2" t="s">
        <v>61</v>
      </c>
      <c r="C62" s="2"/>
      <c r="D62" s="5">
        <v>23547</v>
      </c>
      <c r="E62" s="5">
        <v>9248</v>
      </c>
      <c r="F62" s="5">
        <v>9240</v>
      </c>
      <c r="G62">
        <v>5.0599999999999996</v>
      </c>
      <c r="H62" s="5">
        <f t="shared" si="2"/>
        <v>23547</v>
      </c>
      <c r="I62" s="2">
        <v>1</v>
      </c>
      <c r="J62">
        <v>46.53</v>
      </c>
      <c r="K62" s="5">
        <v>23559</v>
      </c>
      <c r="L62" s="9">
        <f t="shared" si="3"/>
        <v>-5.0935948045327528E-4</v>
      </c>
      <c r="M62" s="6">
        <v>1341.31</v>
      </c>
      <c r="N62" s="10">
        <v>7.2583725964599517E-3</v>
      </c>
      <c r="O62" s="10">
        <v>0.57697695148350947</v>
      </c>
      <c r="P62" s="8">
        <v>0.97049999999999992</v>
      </c>
      <c r="Q62" s="2"/>
    </row>
    <row r="63" spans="1:17" x14ac:dyDescent="0.35">
      <c r="A63" s="2" t="s">
        <v>21</v>
      </c>
      <c r="B63" s="2" t="s">
        <v>4</v>
      </c>
      <c r="C63" s="2"/>
      <c r="D63" s="5">
        <v>5008</v>
      </c>
      <c r="E63" s="5">
        <v>3298</v>
      </c>
      <c r="F63" s="5">
        <v>3284</v>
      </c>
      <c r="G63">
        <v>1.35</v>
      </c>
      <c r="H63" s="5">
        <f t="shared" si="2"/>
        <v>5008</v>
      </c>
      <c r="I63" s="2">
        <v>1</v>
      </c>
      <c r="J63">
        <v>36.97</v>
      </c>
      <c r="K63" s="5">
        <v>6130</v>
      </c>
      <c r="L63" s="9">
        <f t="shared" si="3"/>
        <v>-0.18303425774877646</v>
      </c>
      <c r="M63" s="6">
        <v>2234.31</v>
      </c>
      <c r="N63" s="10">
        <v>3.5889070146818925E-3</v>
      </c>
      <c r="O63" s="10">
        <v>0.64388254486133767</v>
      </c>
      <c r="P63" s="8">
        <v>0.99120000000000008</v>
      </c>
      <c r="Q63" s="2"/>
    </row>
    <row r="64" spans="1:17" x14ac:dyDescent="0.35">
      <c r="A64" s="2" t="s">
        <v>69</v>
      </c>
      <c r="B64" s="2" t="s">
        <v>61</v>
      </c>
      <c r="C64" s="2"/>
      <c r="D64" s="5">
        <v>3277</v>
      </c>
      <c r="E64" s="5">
        <v>1299</v>
      </c>
      <c r="F64" s="5">
        <v>1299</v>
      </c>
      <c r="G64">
        <v>3.04</v>
      </c>
      <c r="H64" s="5">
        <f t="shared" si="2"/>
        <v>3277</v>
      </c>
      <c r="I64" s="2">
        <v>1</v>
      </c>
      <c r="J64">
        <v>10.79</v>
      </c>
      <c r="K64" s="5">
        <v>3253</v>
      </c>
      <c r="L64" s="9">
        <f t="shared" si="3"/>
        <v>7.3778051029818048E-3</v>
      </c>
      <c r="M64" s="6">
        <v>1816.3</v>
      </c>
      <c r="N64" s="10">
        <v>7.3778051029818629E-3</v>
      </c>
      <c r="O64" s="10">
        <v>0.55118352290193673</v>
      </c>
      <c r="P64" s="8">
        <v>0.96420000000000006</v>
      </c>
      <c r="Q64" s="2"/>
    </row>
    <row r="65" spans="1:17" x14ac:dyDescent="0.35">
      <c r="A65" s="2" t="s">
        <v>31</v>
      </c>
      <c r="B65" s="2" t="s">
        <v>23</v>
      </c>
      <c r="C65" s="2"/>
      <c r="D65" s="5">
        <v>6034</v>
      </c>
      <c r="E65" s="5">
        <v>2529</v>
      </c>
      <c r="F65" s="5">
        <v>2525</v>
      </c>
      <c r="G65">
        <v>2.27</v>
      </c>
      <c r="H65" s="5">
        <f t="shared" si="2"/>
        <v>6034</v>
      </c>
      <c r="I65" s="2">
        <v>1</v>
      </c>
      <c r="J65">
        <v>26.53</v>
      </c>
      <c r="K65" s="5">
        <v>6276</v>
      </c>
      <c r="L65" s="9">
        <f t="shared" si="3"/>
        <v>-3.8559592096876982E-2</v>
      </c>
      <c r="M65" s="6">
        <v>2599.6</v>
      </c>
      <c r="N65" s="10">
        <v>5.7361376673040155E-3</v>
      </c>
      <c r="O65" s="10">
        <v>0.53457616316124923</v>
      </c>
      <c r="P65" s="8">
        <v>0.98780000000000001</v>
      </c>
      <c r="Q65" s="2"/>
    </row>
    <row r="66" spans="1:17" x14ac:dyDescent="0.35">
      <c r="A66" s="2" t="s">
        <v>75</v>
      </c>
      <c r="B66" s="2" t="s">
        <v>72</v>
      </c>
      <c r="C66" s="2"/>
      <c r="D66" s="5">
        <v>6689</v>
      </c>
      <c r="E66" s="5">
        <v>2568</v>
      </c>
      <c r="F66" s="5">
        <v>2567</v>
      </c>
      <c r="G66">
        <v>7.45</v>
      </c>
      <c r="H66" s="5">
        <f t="shared" si="2"/>
        <v>6689</v>
      </c>
      <c r="I66" s="2">
        <v>1</v>
      </c>
      <c r="J66">
        <v>8.98</v>
      </c>
      <c r="K66" s="5">
        <v>4773</v>
      </c>
      <c r="L66" s="9">
        <f t="shared" si="3"/>
        <v>0.40142468049444791</v>
      </c>
      <c r="M66">
        <v>578</v>
      </c>
      <c r="N66" s="10">
        <v>2.870312172637754E-2</v>
      </c>
      <c r="O66" s="10">
        <v>0.5237795935470354</v>
      </c>
      <c r="P66" s="8">
        <v>0.92400000000000004</v>
      </c>
      <c r="Q66" s="2"/>
    </row>
    <row r="67" spans="1:17" x14ac:dyDescent="0.35">
      <c r="A67" s="2" t="s">
        <v>58</v>
      </c>
      <c r="B67" s="2" t="s">
        <v>50</v>
      </c>
      <c r="C67" s="2"/>
      <c r="D67" s="5">
        <v>5720</v>
      </c>
      <c r="E67" s="5">
        <v>2791</v>
      </c>
      <c r="F67" s="5">
        <v>2787</v>
      </c>
      <c r="G67">
        <v>2.12</v>
      </c>
      <c r="H67" s="5">
        <f t="shared" ref="H67:H77" si="4">D67</f>
        <v>5720</v>
      </c>
      <c r="I67" s="2">
        <v>1</v>
      </c>
      <c r="J67">
        <v>26.93</v>
      </c>
      <c r="K67" s="5">
        <v>6851</v>
      </c>
      <c r="L67" s="9">
        <f t="shared" ref="L67:L77" si="5">((D67*1)/K67)-1</f>
        <v>-0.16508538899430736</v>
      </c>
      <c r="M67" s="6">
        <v>3088.78</v>
      </c>
      <c r="N67" s="10">
        <v>2.7733177638300977E-3</v>
      </c>
      <c r="O67" s="10">
        <v>0.54853306086702669</v>
      </c>
      <c r="P67" s="8">
        <v>0.98919999999999997</v>
      </c>
      <c r="Q67" s="2"/>
    </row>
    <row r="68" spans="1:17" x14ac:dyDescent="0.35">
      <c r="A68" s="2" t="s">
        <v>78</v>
      </c>
      <c r="B68" s="2" t="s">
        <v>77</v>
      </c>
      <c r="C68" s="2"/>
      <c r="D68" s="5">
        <v>102293</v>
      </c>
      <c r="E68" s="5">
        <v>40224</v>
      </c>
      <c r="F68" s="5">
        <v>40217</v>
      </c>
      <c r="G68">
        <v>11.2</v>
      </c>
      <c r="H68" s="5">
        <f t="shared" si="4"/>
        <v>102293</v>
      </c>
      <c r="I68" s="2">
        <v>1</v>
      </c>
      <c r="J68">
        <v>91.34</v>
      </c>
      <c r="K68" s="5">
        <v>115525</v>
      </c>
      <c r="L68" s="9">
        <f t="shared" si="5"/>
        <v>-0.11453797879246919</v>
      </c>
      <c r="M68">
        <v>726.28</v>
      </c>
      <c r="N68" s="10">
        <v>1.2906297338238476E-2</v>
      </c>
      <c r="O68" s="10">
        <v>0.56214672148885525</v>
      </c>
      <c r="P68" s="8">
        <v>0.9556</v>
      </c>
      <c r="Q68" s="2"/>
    </row>
    <row r="69" spans="1:17" x14ac:dyDescent="0.35">
      <c r="A69" s="2" t="s">
        <v>32</v>
      </c>
      <c r="B69" s="2" t="s">
        <v>23</v>
      </c>
      <c r="C69" s="2"/>
      <c r="D69" s="5">
        <v>3470</v>
      </c>
      <c r="E69" s="5">
        <v>1430</v>
      </c>
      <c r="F69" s="5">
        <v>1427</v>
      </c>
      <c r="G69">
        <v>1.83</v>
      </c>
      <c r="H69" s="5">
        <f t="shared" si="4"/>
        <v>3470</v>
      </c>
      <c r="I69" s="2">
        <v>1</v>
      </c>
      <c r="J69">
        <v>18.989999999999998</v>
      </c>
      <c r="K69" s="5">
        <v>3396</v>
      </c>
      <c r="L69" s="9">
        <f t="shared" si="5"/>
        <v>2.1790341578327377E-2</v>
      </c>
      <c r="M69" s="6">
        <v>1381.97</v>
      </c>
      <c r="N69" s="10">
        <v>1.0895170789163721E-2</v>
      </c>
      <c r="O69" s="10">
        <v>0.59305064782096584</v>
      </c>
      <c r="P69" s="8">
        <v>0.95900000000000007</v>
      </c>
      <c r="Q69" s="2"/>
    </row>
    <row r="70" spans="1:17" x14ac:dyDescent="0.35">
      <c r="A70" s="2" t="s">
        <v>39</v>
      </c>
      <c r="B70" s="2" t="s">
        <v>34</v>
      </c>
      <c r="C70" s="2"/>
      <c r="D70" s="5">
        <v>7073</v>
      </c>
      <c r="E70" s="5">
        <v>2930</v>
      </c>
      <c r="F70" s="5">
        <v>2925</v>
      </c>
      <c r="G70">
        <v>4.17</v>
      </c>
      <c r="H70" s="5">
        <f t="shared" si="4"/>
        <v>7073</v>
      </c>
      <c r="I70" s="2">
        <v>1</v>
      </c>
      <c r="J70">
        <v>16.96</v>
      </c>
      <c r="K70" s="5">
        <v>8072</v>
      </c>
      <c r="L70" s="9">
        <f t="shared" si="5"/>
        <v>-0.1237611496531219</v>
      </c>
      <c r="M70" s="6">
        <v>2100.23</v>
      </c>
      <c r="N70" s="10">
        <v>5.4509415262636272E-3</v>
      </c>
      <c r="O70" s="10">
        <v>0.55413776015857286</v>
      </c>
      <c r="P70" s="8">
        <v>0.97760000000000002</v>
      </c>
      <c r="Q70" s="2"/>
    </row>
    <row r="71" spans="1:17" x14ac:dyDescent="0.35">
      <c r="A71" s="2" t="s">
        <v>81</v>
      </c>
      <c r="B71" s="2" t="s">
        <v>81</v>
      </c>
      <c r="C71" s="2"/>
      <c r="D71" s="5">
        <v>56054</v>
      </c>
      <c r="E71" s="5">
        <v>22301</v>
      </c>
      <c r="F71" s="5">
        <v>22294</v>
      </c>
      <c r="G71">
        <v>11.23</v>
      </c>
      <c r="H71" s="5">
        <f t="shared" si="4"/>
        <v>56054</v>
      </c>
      <c r="I71" s="2">
        <v>1</v>
      </c>
      <c r="J71">
        <v>49.89</v>
      </c>
      <c r="K71" s="5">
        <v>52780</v>
      </c>
      <c r="L71" s="9">
        <f t="shared" si="5"/>
        <v>6.2031072375899887E-2</v>
      </c>
      <c r="M71">
        <v>590.05999999999995</v>
      </c>
      <c r="N71" s="10">
        <v>1.4797271693823418E-2</v>
      </c>
      <c r="O71" s="10">
        <v>0.51756347101174682</v>
      </c>
      <c r="P71" s="8">
        <v>0.92859999999999998</v>
      </c>
      <c r="Q71" s="2"/>
    </row>
    <row r="72" spans="1:17" x14ac:dyDescent="0.35">
      <c r="A72" s="2" t="s">
        <v>33</v>
      </c>
      <c r="B72" s="2" t="s">
        <v>23</v>
      </c>
      <c r="C72" s="2"/>
      <c r="D72" s="5">
        <v>12203</v>
      </c>
      <c r="E72" s="5">
        <v>5682</v>
      </c>
      <c r="F72" s="5">
        <v>5669</v>
      </c>
      <c r="G72">
        <v>2.15</v>
      </c>
      <c r="H72" s="5">
        <f t="shared" si="4"/>
        <v>12203</v>
      </c>
      <c r="I72" s="2">
        <v>1</v>
      </c>
      <c r="J72">
        <v>56.72</v>
      </c>
      <c r="K72" s="5">
        <v>12319</v>
      </c>
      <c r="L72" s="9">
        <f t="shared" si="5"/>
        <v>-9.4163487296047288E-3</v>
      </c>
      <c r="M72" s="6">
        <v>1370.39</v>
      </c>
      <c r="N72" s="10">
        <v>5.2764023053819302E-3</v>
      </c>
      <c r="O72" s="10">
        <v>0.60540628297751442</v>
      </c>
      <c r="P72" s="8">
        <v>0.98030000000000006</v>
      </c>
      <c r="Q72" s="2"/>
    </row>
    <row r="73" spans="1:17" x14ac:dyDescent="0.35">
      <c r="A73" s="2" t="s">
        <v>38</v>
      </c>
      <c r="B73" s="2" t="s">
        <v>34</v>
      </c>
      <c r="C73" s="2"/>
      <c r="D73" s="5">
        <v>73241</v>
      </c>
      <c r="E73" s="5">
        <v>28946</v>
      </c>
      <c r="F73" s="5">
        <v>28926</v>
      </c>
      <c r="G73">
        <v>14.34</v>
      </c>
      <c r="H73" s="5">
        <f t="shared" si="4"/>
        <v>73241</v>
      </c>
      <c r="I73" s="2">
        <v>1</v>
      </c>
      <c r="J73">
        <v>51.09</v>
      </c>
      <c r="K73" s="5">
        <v>72056</v>
      </c>
      <c r="L73" s="9">
        <f t="shared" si="5"/>
        <v>1.6445542355945308E-2</v>
      </c>
      <c r="M73" s="6">
        <v>1101.82</v>
      </c>
      <c r="N73" s="10">
        <v>1.2559675807705117E-2</v>
      </c>
      <c r="O73" s="10">
        <v>0.54465970911513273</v>
      </c>
      <c r="P73" s="8">
        <v>0.96489999999999998</v>
      </c>
      <c r="Q73" s="2"/>
    </row>
    <row r="74" spans="1:17" x14ac:dyDescent="0.35">
      <c r="A74" s="2" t="s">
        <v>79</v>
      </c>
      <c r="B74" s="2" t="s">
        <v>77</v>
      </c>
      <c r="C74" s="2"/>
      <c r="D74" s="5">
        <v>21969</v>
      </c>
      <c r="E74" s="5">
        <v>8445</v>
      </c>
      <c r="F74" s="5">
        <v>8442</v>
      </c>
      <c r="G74">
        <v>22.24</v>
      </c>
      <c r="H74" s="5">
        <f t="shared" si="4"/>
        <v>21969</v>
      </c>
      <c r="I74" s="2">
        <v>1</v>
      </c>
      <c r="J74">
        <v>9.8800000000000008</v>
      </c>
      <c r="K74" s="5">
        <v>18730</v>
      </c>
      <c r="L74" s="9">
        <f t="shared" si="5"/>
        <v>0.17293112653497067</v>
      </c>
      <c r="M74">
        <v>762.65</v>
      </c>
      <c r="N74" s="10">
        <v>1.0945008008542445E-2</v>
      </c>
      <c r="O74" s="10">
        <v>0.53358248798718633</v>
      </c>
      <c r="P74" s="8">
        <v>0.95629999999999993</v>
      </c>
      <c r="Q74" s="2"/>
    </row>
    <row r="75" spans="1:17" x14ac:dyDescent="0.35">
      <c r="A75" s="2" t="s">
        <v>59</v>
      </c>
      <c r="B75" s="2" t="s">
        <v>50</v>
      </c>
      <c r="C75" s="2"/>
      <c r="D75" s="5">
        <v>12859</v>
      </c>
      <c r="E75" s="5">
        <v>7471</v>
      </c>
      <c r="F75" s="5">
        <v>7469</v>
      </c>
      <c r="G75">
        <v>1.22</v>
      </c>
      <c r="H75" s="5">
        <f t="shared" si="4"/>
        <v>12859</v>
      </c>
      <c r="I75" s="2">
        <v>1</v>
      </c>
      <c r="J75">
        <v>105.7</v>
      </c>
      <c r="K75" s="5">
        <v>11610</v>
      </c>
      <c r="L75" s="9">
        <f t="shared" si="5"/>
        <v>0.1075796726959517</v>
      </c>
      <c r="M75" s="6">
        <v>2467.2199999999998</v>
      </c>
      <c r="N75" s="10">
        <v>2.2394487510766581E-3</v>
      </c>
      <c r="O75" s="10">
        <v>0.5488372093023256</v>
      </c>
      <c r="P75" s="8">
        <v>0.98849999999999993</v>
      </c>
      <c r="Q75" s="2"/>
    </row>
    <row r="76" spans="1:17" x14ac:dyDescent="0.35">
      <c r="A76" s="2" t="s">
        <v>70</v>
      </c>
      <c r="B76" s="2" t="s">
        <v>61</v>
      </c>
      <c r="C76" s="2"/>
      <c r="D76" s="5">
        <v>10790</v>
      </c>
      <c r="E76" s="5">
        <v>4682</v>
      </c>
      <c r="F76" s="5">
        <v>4673</v>
      </c>
      <c r="G76">
        <v>3.7</v>
      </c>
      <c r="H76" s="5">
        <f t="shared" si="4"/>
        <v>10790</v>
      </c>
      <c r="I76" s="2">
        <v>1</v>
      </c>
      <c r="J76">
        <v>29.17</v>
      </c>
      <c r="K76" s="5">
        <v>11199</v>
      </c>
      <c r="L76" s="9">
        <f t="shared" si="5"/>
        <v>-3.6521117956960447E-2</v>
      </c>
      <c r="M76" s="6">
        <v>2036.11</v>
      </c>
      <c r="N76" s="10">
        <v>6.2505580855433517E-3</v>
      </c>
      <c r="O76" s="10">
        <v>0.53397624787927489</v>
      </c>
      <c r="P76" s="8">
        <v>0.98129999999999995</v>
      </c>
      <c r="Q76" s="2"/>
    </row>
    <row r="77" spans="1:17" x14ac:dyDescent="0.35">
      <c r="A77" s="2" t="s">
        <v>43</v>
      </c>
      <c r="B77" s="2" t="s">
        <v>41</v>
      </c>
      <c r="C77" s="2"/>
      <c r="D77" s="5">
        <v>58124</v>
      </c>
      <c r="E77" s="5">
        <v>22996</v>
      </c>
      <c r="F77" s="5">
        <v>22974</v>
      </c>
      <c r="G77">
        <v>9.09</v>
      </c>
      <c r="H77" s="5">
        <f t="shared" si="4"/>
        <v>58124</v>
      </c>
      <c r="I77" s="2">
        <v>1</v>
      </c>
      <c r="J77">
        <v>63.98</v>
      </c>
      <c r="K77" s="5">
        <v>57182</v>
      </c>
      <c r="L77" s="9">
        <f t="shared" si="5"/>
        <v>1.6473715504879083E-2</v>
      </c>
      <c r="M77" s="6">
        <v>1040.56</v>
      </c>
      <c r="N77" s="10">
        <v>8.5166660837326432E-3</v>
      </c>
      <c r="O77" s="10">
        <v>0.56633206253716206</v>
      </c>
      <c r="P77" s="8">
        <v>0.96930000000000005</v>
      </c>
      <c r="Q77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069E-E148-4388-8F8D-3F13C2458288}">
  <dimension ref="A1:N7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7" sqref="A57"/>
    </sheetView>
  </sheetViews>
  <sheetFormatPr defaultRowHeight="14.5" x14ac:dyDescent="0.35"/>
  <cols>
    <col min="1" max="1" width="26.90625" customWidth="1"/>
    <col min="2" max="14" width="22.6328125" customWidth="1"/>
  </cols>
  <sheetData>
    <row r="1" spans="1:14" x14ac:dyDescent="0.35">
      <c r="A1" s="1" t="s">
        <v>114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111</v>
      </c>
      <c r="K1" s="1" t="s">
        <v>112</v>
      </c>
      <c r="L1" s="1" t="s">
        <v>109</v>
      </c>
      <c r="M1" s="1" t="s">
        <v>110</v>
      </c>
      <c r="N1" s="1" t="s">
        <v>113</v>
      </c>
    </row>
    <row r="2" spans="1:14" x14ac:dyDescent="0.35">
      <c r="A2" s="2" t="s">
        <v>22</v>
      </c>
      <c r="B2" s="5">
        <v>13991</v>
      </c>
      <c r="C2" s="5">
        <v>5655</v>
      </c>
      <c r="D2" s="5">
        <v>5651</v>
      </c>
      <c r="E2">
        <v>4.32</v>
      </c>
      <c r="F2" s="5">
        <f>B2</f>
        <v>13991</v>
      </c>
      <c r="G2" s="2">
        <v>1</v>
      </c>
      <c r="H2">
        <v>32.409999999999997</v>
      </c>
      <c r="I2" s="5">
        <v>13189</v>
      </c>
      <c r="J2" s="9">
        <f>((B2*1)/I2)-1</f>
        <v>6.0808249298657913E-2</v>
      </c>
      <c r="K2" s="6">
        <v>1179.72</v>
      </c>
      <c r="L2" s="10">
        <v>8.0370005307453182E-3</v>
      </c>
      <c r="M2" s="10">
        <v>0.56221093335355221</v>
      </c>
      <c r="N2" s="8">
        <v>0.96290000000000009</v>
      </c>
    </row>
    <row r="3" spans="1:14" x14ac:dyDescent="0.35">
      <c r="A3" s="2" t="s">
        <v>49</v>
      </c>
      <c r="B3" s="5">
        <v>49573</v>
      </c>
      <c r="C3" s="5">
        <v>25689</v>
      </c>
      <c r="D3" s="5">
        <v>25659</v>
      </c>
      <c r="E3">
        <v>4.7699999999999996</v>
      </c>
      <c r="F3" s="5">
        <f t="shared" ref="F3:F66" si="0">B3</f>
        <v>49573</v>
      </c>
      <c r="G3" s="2">
        <v>1</v>
      </c>
      <c r="H3">
        <v>103.86</v>
      </c>
      <c r="I3" s="5">
        <v>51425</v>
      </c>
      <c r="J3" s="9">
        <f t="shared" ref="J3:J66" si="1">((B3*1)/I3)-1</f>
        <v>-3.6013612056392752E-2</v>
      </c>
      <c r="K3" s="6">
        <v>3170.07</v>
      </c>
      <c r="L3" s="10">
        <v>3.1696645600388916E-3</v>
      </c>
      <c r="M3" s="10">
        <v>0.53193971803597473</v>
      </c>
      <c r="N3" s="8">
        <v>0.99180000000000001</v>
      </c>
    </row>
    <row r="4" spans="1:14" x14ac:dyDescent="0.35">
      <c r="A4" s="2" t="s">
        <v>3</v>
      </c>
      <c r="B4" s="5">
        <v>11859</v>
      </c>
      <c r="C4" s="5">
        <v>5512</v>
      </c>
      <c r="D4" s="5">
        <v>5505</v>
      </c>
      <c r="E4">
        <v>1.85</v>
      </c>
      <c r="F4" s="5">
        <f t="shared" si="0"/>
        <v>11859</v>
      </c>
      <c r="G4" s="2">
        <v>1</v>
      </c>
      <c r="H4">
        <v>63.93</v>
      </c>
      <c r="I4" s="5">
        <v>11506</v>
      </c>
      <c r="J4" s="9">
        <f t="shared" si="1"/>
        <v>3.0679645402398759E-2</v>
      </c>
      <c r="K4" s="6">
        <v>3054.92</v>
      </c>
      <c r="L4" s="10">
        <v>2.8680688336520078E-3</v>
      </c>
      <c r="M4" s="10">
        <v>0.49965235529289065</v>
      </c>
      <c r="N4" s="8">
        <v>0.99129999999999996</v>
      </c>
    </row>
    <row r="5" spans="1:14" x14ac:dyDescent="0.35">
      <c r="A5" s="2" t="s">
        <v>40</v>
      </c>
      <c r="B5" s="5">
        <v>51178</v>
      </c>
      <c r="C5" s="5">
        <v>20354</v>
      </c>
      <c r="D5" s="5">
        <v>20347</v>
      </c>
      <c r="E5">
        <v>11.83</v>
      </c>
      <c r="F5" s="5">
        <f t="shared" si="0"/>
        <v>51178</v>
      </c>
      <c r="G5" s="2">
        <v>1</v>
      </c>
      <c r="H5">
        <v>43.25</v>
      </c>
      <c r="I5" s="5">
        <v>53671</v>
      </c>
      <c r="J5" s="9">
        <f t="shared" si="1"/>
        <v>-4.6449665554955222E-2</v>
      </c>
      <c r="K5">
        <v>867.36</v>
      </c>
      <c r="L5" s="10">
        <v>9.7259227515790643E-3</v>
      </c>
      <c r="M5" s="10">
        <v>0.57522684503735722</v>
      </c>
      <c r="N5" s="8">
        <v>0.96640000000000004</v>
      </c>
    </row>
    <row r="6" spans="1:14" x14ac:dyDescent="0.35">
      <c r="A6" s="2" t="s">
        <v>5</v>
      </c>
      <c r="B6" s="5">
        <v>6242</v>
      </c>
      <c r="C6" s="5">
        <v>3780</v>
      </c>
      <c r="D6" s="5">
        <v>3776</v>
      </c>
      <c r="E6">
        <v>0.88</v>
      </c>
      <c r="F6" s="5">
        <f t="shared" si="0"/>
        <v>6242</v>
      </c>
      <c r="G6" s="2">
        <v>1</v>
      </c>
      <c r="H6">
        <v>71.3</v>
      </c>
      <c r="I6" s="5">
        <v>5548</v>
      </c>
      <c r="J6" s="9">
        <f t="shared" si="1"/>
        <v>0.12509012256669072</v>
      </c>
      <c r="K6" s="6">
        <v>3054.18</v>
      </c>
      <c r="L6" s="10">
        <v>2.5234318673395817E-3</v>
      </c>
      <c r="M6" s="10">
        <v>0.52361211247296324</v>
      </c>
      <c r="N6" s="8">
        <v>0.99159999999999993</v>
      </c>
    </row>
    <row r="7" spans="1:14" x14ac:dyDescent="0.35">
      <c r="A7" s="2" t="s">
        <v>133</v>
      </c>
      <c r="B7" s="5">
        <v>8102</v>
      </c>
      <c r="C7" s="5">
        <v>4791</v>
      </c>
      <c r="D7" s="5">
        <v>4764</v>
      </c>
      <c r="E7">
        <v>1.49</v>
      </c>
      <c r="F7" s="5">
        <f t="shared" si="0"/>
        <v>8102</v>
      </c>
      <c r="G7" s="2">
        <v>1</v>
      </c>
      <c r="H7">
        <v>54.54</v>
      </c>
      <c r="I7" s="5">
        <v>8531</v>
      </c>
      <c r="J7" s="9">
        <f t="shared" si="1"/>
        <v>-5.0287187902942176E-2</v>
      </c>
      <c r="K7" s="6">
        <v>2854.97</v>
      </c>
      <c r="L7" s="10">
        <v>2.8132692533114523E-3</v>
      </c>
      <c r="M7" s="10">
        <v>0.55644121439456107</v>
      </c>
      <c r="N7" s="8">
        <v>0.99010000000000009</v>
      </c>
    </row>
    <row r="8" spans="1:14" x14ac:dyDescent="0.35">
      <c r="A8" s="2" t="s">
        <v>24</v>
      </c>
      <c r="B8" s="5">
        <v>19958</v>
      </c>
      <c r="C8" s="5">
        <v>8260</v>
      </c>
      <c r="D8" s="5">
        <v>8255</v>
      </c>
      <c r="E8">
        <v>4.16</v>
      </c>
      <c r="F8" s="5">
        <f t="shared" si="0"/>
        <v>19958</v>
      </c>
      <c r="G8" s="2">
        <v>1</v>
      </c>
      <c r="H8">
        <v>47.98</v>
      </c>
      <c r="I8" s="5">
        <v>15935</v>
      </c>
      <c r="J8" s="9">
        <f t="shared" si="1"/>
        <v>0.25246313147160349</v>
      </c>
      <c r="K8" s="6">
        <v>1203.26</v>
      </c>
      <c r="L8" s="10">
        <v>1.1797929086915595E-2</v>
      </c>
      <c r="M8" s="10">
        <v>0.57088170693442108</v>
      </c>
      <c r="N8" s="8">
        <v>0.96499999999999997</v>
      </c>
    </row>
    <row r="9" spans="1:14" x14ac:dyDescent="0.35">
      <c r="A9" s="2" t="s">
        <v>71</v>
      </c>
      <c r="B9" s="5">
        <v>7399</v>
      </c>
      <c r="C9" s="5">
        <v>2964</v>
      </c>
      <c r="D9" s="5">
        <v>2963</v>
      </c>
      <c r="E9">
        <v>9.17</v>
      </c>
      <c r="F9" s="5">
        <f t="shared" si="0"/>
        <v>7399</v>
      </c>
      <c r="G9" s="2">
        <v>1</v>
      </c>
      <c r="H9">
        <v>8.07</v>
      </c>
      <c r="I9" s="5">
        <v>6598</v>
      </c>
      <c r="J9" s="9">
        <f t="shared" si="1"/>
        <v>0.12140042437102161</v>
      </c>
      <c r="K9">
        <v>731.64</v>
      </c>
      <c r="L9" s="10">
        <v>1.3185813882994847E-2</v>
      </c>
      <c r="M9" s="10">
        <v>0.53501060927553801</v>
      </c>
      <c r="N9" s="8">
        <v>0.95150000000000001</v>
      </c>
    </row>
    <row r="10" spans="1:14" x14ac:dyDescent="0.35">
      <c r="A10" s="2" t="s">
        <v>25</v>
      </c>
      <c r="B10" s="5">
        <v>23989</v>
      </c>
      <c r="C10" s="5">
        <v>11422</v>
      </c>
      <c r="D10" s="5">
        <v>11395</v>
      </c>
      <c r="E10">
        <v>7.05</v>
      </c>
      <c r="F10" s="5">
        <f t="shared" si="0"/>
        <v>23989</v>
      </c>
      <c r="G10" s="2">
        <v>1</v>
      </c>
      <c r="H10">
        <v>34.03</v>
      </c>
      <c r="I10" s="5">
        <v>23734</v>
      </c>
      <c r="J10" s="9">
        <f t="shared" si="1"/>
        <v>1.0744080222465646E-2</v>
      </c>
      <c r="K10" s="6">
        <v>2216.4</v>
      </c>
      <c r="L10" s="10">
        <v>3.5392264262239827E-3</v>
      </c>
      <c r="M10" s="10">
        <v>0.57967472823797084</v>
      </c>
      <c r="N10" s="8">
        <v>0.98730000000000007</v>
      </c>
    </row>
    <row r="11" spans="1:14" x14ac:dyDescent="0.35">
      <c r="A11" s="2" t="s">
        <v>26</v>
      </c>
      <c r="B11" s="5">
        <v>42767</v>
      </c>
      <c r="C11" s="5">
        <v>18006</v>
      </c>
      <c r="D11" s="5">
        <v>17999</v>
      </c>
      <c r="E11">
        <v>7.2</v>
      </c>
      <c r="F11" s="5">
        <f t="shared" si="0"/>
        <v>42767</v>
      </c>
      <c r="G11" s="2">
        <v>1</v>
      </c>
      <c r="H11">
        <v>59.39</v>
      </c>
      <c r="I11" s="5">
        <v>46106</v>
      </c>
      <c r="J11" s="9">
        <f t="shared" si="1"/>
        <v>-7.2420075478245804E-2</v>
      </c>
      <c r="K11" s="6">
        <v>1116.57</v>
      </c>
      <c r="L11" s="10">
        <v>8.6539712835639621E-3</v>
      </c>
      <c r="M11" s="10">
        <v>0.60089793085498633</v>
      </c>
      <c r="N11" s="8">
        <v>0.96819999999999995</v>
      </c>
    </row>
    <row r="12" spans="1:14" x14ac:dyDescent="0.35">
      <c r="A12" s="2" t="s">
        <v>27</v>
      </c>
      <c r="B12" s="5">
        <v>15986</v>
      </c>
      <c r="C12" s="5">
        <v>6911</v>
      </c>
      <c r="D12" s="5">
        <v>6909</v>
      </c>
      <c r="E12">
        <v>3.62</v>
      </c>
      <c r="F12" s="5">
        <f t="shared" si="0"/>
        <v>15986</v>
      </c>
      <c r="G12" s="2">
        <v>1</v>
      </c>
      <c r="H12">
        <v>44.15</v>
      </c>
      <c r="I12" s="5">
        <v>18017</v>
      </c>
      <c r="J12" s="9">
        <f t="shared" si="1"/>
        <v>-0.11272686906810236</v>
      </c>
      <c r="K12" s="6">
        <v>1163.49</v>
      </c>
      <c r="L12" s="10">
        <v>7.3264139423877446E-3</v>
      </c>
      <c r="M12" s="10">
        <v>0.616473330743187</v>
      </c>
      <c r="N12" s="8">
        <v>0.97510000000000008</v>
      </c>
    </row>
    <row r="13" spans="1:14" x14ac:dyDescent="0.35">
      <c r="A13" s="2" t="s">
        <v>7</v>
      </c>
      <c r="B13" s="5">
        <v>9913</v>
      </c>
      <c r="C13" s="5">
        <v>5764</v>
      </c>
      <c r="D13" s="5">
        <v>5741</v>
      </c>
      <c r="E13">
        <v>1.74</v>
      </c>
      <c r="F13" s="5">
        <f t="shared" si="0"/>
        <v>9913</v>
      </c>
      <c r="G13" s="2">
        <v>1</v>
      </c>
      <c r="H13">
        <v>57.05</v>
      </c>
      <c r="I13" s="5">
        <v>10878</v>
      </c>
      <c r="J13" s="9">
        <f t="shared" si="1"/>
        <v>-8.8711160139731571E-2</v>
      </c>
      <c r="K13" s="6">
        <v>4140.7</v>
      </c>
      <c r="L13" s="10">
        <v>1.4708586137157566E-3</v>
      </c>
      <c r="M13" s="10">
        <v>0.4083471226328369</v>
      </c>
      <c r="N13" s="8">
        <v>0.99519999999999997</v>
      </c>
    </row>
    <row r="14" spans="1:14" x14ac:dyDescent="0.35">
      <c r="A14" s="2" t="s">
        <v>8</v>
      </c>
      <c r="B14" s="5">
        <v>25590</v>
      </c>
      <c r="C14" s="5">
        <v>15498</v>
      </c>
      <c r="D14" s="5">
        <v>15453</v>
      </c>
      <c r="E14">
        <v>2.9</v>
      </c>
      <c r="F14" s="5">
        <f t="shared" si="0"/>
        <v>25590</v>
      </c>
      <c r="G14" s="2">
        <v>1</v>
      </c>
      <c r="H14">
        <v>88.35</v>
      </c>
      <c r="I14" s="5">
        <v>28336</v>
      </c>
      <c r="J14" s="9">
        <f t="shared" si="1"/>
        <v>-9.6908526256352379E-2</v>
      </c>
      <c r="K14" s="6">
        <v>3729.56</v>
      </c>
      <c r="L14" s="10">
        <v>2.611518915866742E-3</v>
      </c>
      <c r="M14" s="10">
        <v>0.50088226990400908</v>
      </c>
      <c r="N14" s="8">
        <v>0.99260000000000004</v>
      </c>
    </row>
    <row r="15" spans="1:14" x14ac:dyDescent="0.35">
      <c r="A15" s="2" t="s">
        <v>23</v>
      </c>
      <c r="B15" s="5">
        <v>31983</v>
      </c>
      <c r="C15" s="5">
        <v>15026</v>
      </c>
      <c r="D15" s="5">
        <v>15012</v>
      </c>
      <c r="E15">
        <v>5.22</v>
      </c>
      <c r="F15" s="5">
        <f t="shared" si="0"/>
        <v>31983</v>
      </c>
      <c r="G15" s="2">
        <v>1</v>
      </c>
      <c r="H15">
        <v>61.23</v>
      </c>
      <c r="I15" s="5">
        <v>31052</v>
      </c>
      <c r="J15" s="9">
        <f t="shared" si="1"/>
        <v>2.998196573489631E-2</v>
      </c>
      <c r="K15" s="6">
        <v>1600.36</v>
      </c>
      <c r="L15" s="10">
        <v>6.1187685173257761E-3</v>
      </c>
      <c r="M15" s="10">
        <v>0.60788355017390183</v>
      </c>
      <c r="N15" s="8">
        <v>0.9840000000000001</v>
      </c>
    </row>
    <row r="16" spans="1:14" x14ac:dyDescent="0.35">
      <c r="A16" s="2" t="s">
        <v>9</v>
      </c>
      <c r="B16" s="5">
        <v>5001</v>
      </c>
      <c r="C16" s="5">
        <v>2328</v>
      </c>
      <c r="D16" s="5">
        <v>2312</v>
      </c>
      <c r="E16">
        <v>1.9</v>
      </c>
      <c r="F16" s="5">
        <f t="shared" si="0"/>
        <v>5001</v>
      </c>
      <c r="G16" s="2">
        <v>1</v>
      </c>
      <c r="H16">
        <v>26.35</v>
      </c>
      <c r="I16" s="5">
        <v>5156</v>
      </c>
      <c r="J16" s="9">
        <f t="shared" si="1"/>
        <v>-3.0062063615205581E-2</v>
      </c>
      <c r="K16" s="6">
        <v>2119.34</v>
      </c>
      <c r="L16" s="10">
        <v>3.1031807602792862E-3</v>
      </c>
      <c r="M16" s="10">
        <v>0.56982156710628395</v>
      </c>
      <c r="N16" s="8">
        <v>0.98970000000000002</v>
      </c>
    </row>
    <row r="17" spans="1:14" x14ac:dyDescent="0.35">
      <c r="A17" s="2" t="s">
        <v>41</v>
      </c>
      <c r="B17" s="5">
        <v>65618</v>
      </c>
      <c r="C17" s="5">
        <v>26742</v>
      </c>
      <c r="D17" s="5">
        <v>26617</v>
      </c>
      <c r="E17">
        <v>14.69</v>
      </c>
      <c r="F17" s="5">
        <f t="shared" si="0"/>
        <v>65618</v>
      </c>
      <c r="G17" s="2">
        <v>1</v>
      </c>
      <c r="H17">
        <v>44.67</v>
      </c>
      <c r="I17" s="5">
        <v>73178</v>
      </c>
      <c r="J17" s="9">
        <f t="shared" si="1"/>
        <v>-0.1033097378993687</v>
      </c>
      <c r="K17" s="6">
        <v>1109.8699999999999</v>
      </c>
      <c r="L17" s="10">
        <v>9.5383858536718692E-3</v>
      </c>
      <c r="M17" s="10">
        <v>0.57517286616196128</v>
      </c>
      <c r="N17" s="8">
        <v>0.97</v>
      </c>
    </row>
    <row r="18" spans="1:14" x14ac:dyDescent="0.35">
      <c r="A18" s="2" t="s">
        <v>60</v>
      </c>
      <c r="B18" s="5">
        <v>13501</v>
      </c>
      <c r="C18" s="5">
        <v>5270</v>
      </c>
      <c r="D18" s="5">
        <v>5260</v>
      </c>
      <c r="E18">
        <v>10.44</v>
      </c>
      <c r="F18" s="5">
        <f t="shared" si="0"/>
        <v>13501</v>
      </c>
      <c r="G18" s="2">
        <v>1</v>
      </c>
      <c r="H18">
        <v>12.93</v>
      </c>
      <c r="I18" s="5">
        <v>12876</v>
      </c>
      <c r="J18" s="9">
        <f t="shared" si="1"/>
        <v>4.8539919229574346E-2</v>
      </c>
      <c r="K18" s="6">
        <v>1196.67</v>
      </c>
      <c r="L18" s="10">
        <v>8.5430257844050939E-3</v>
      </c>
      <c r="M18" s="10">
        <v>0.54791860826343586</v>
      </c>
      <c r="N18" s="8">
        <v>0.95239999999999991</v>
      </c>
    </row>
    <row r="19" spans="1:14" x14ac:dyDescent="0.35">
      <c r="A19" s="2" t="s">
        <v>10</v>
      </c>
      <c r="B19" s="5">
        <v>13723</v>
      </c>
      <c r="C19" s="5">
        <v>7376</v>
      </c>
      <c r="D19" s="5">
        <v>7368</v>
      </c>
      <c r="E19">
        <v>2.0299999999999998</v>
      </c>
      <c r="F19" s="5">
        <f t="shared" si="0"/>
        <v>13723</v>
      </c>
      <c r="G19" s="2">
        <v>1</v>
      </c>
      <c r="H19">
        <v>67.709999999999994</v>
      </c>
      <c r="I19" s="5">
        <v>13060</v>
      </c>
      <c r="J19" s="9">
        <f t="shared" si="1"/>
        <v>5.07656967840735E-2</v>
      </c>
      <c r="K19" s="6">
        <v>3519.61</v>
      </c>
      <c r="L19" s="10">
        <v>1.9908116385911178E-3</v>
      </c>
      <c r="M19" s="10">
        <v>0.49617151607963245</v>
      </c>
      <c r="N19" s="8">
        <v>0.99299999999999999</v>
      </c>
    </row>
    <row r="20" spans="1:14" x14ac:dyDescent="0.35">
      <c r="A20" s="2" t="s">
        <v>28</v>
      </c>
      <c r="B20" s="5">
        <v>11462</v>
      </c>
      <c r="C20" s="5">
        <v>4794</v>
      </c>
      <c r="D20" s="5">
        <v>4793</v>
      </c>
      <c r="E20">
        <v>3.22</v>
      </c>
      <c r="F20" s="5">
        <f t="shared" si="0"/>
        <v>11462</v>
      </c>
      <c r="G20" s="2">
        <v>1</v>
      </c>
      <c r="H20">
        <v>35.58</v>
      </c>
      <c r="I20" s="5">
        <v>9314</v>
      </c>
      <c r="J20" s="9">
        <f t="shared" si="1"/>
        <v>0.23062057118316504</v>
      </c>
      <c r="K20">
        <v>814.3</v>
      </c>
      <c r="L20" s="10">
        <v>1.342065707537041E-2</v>
      </c>
      <c r="M20" s="10">
        <v>0.5703242430749409</v>
      </c>
      <c r="N20" s="8">
        <v>0.94590000000000007</v>
      </c>
    </row>
    <row r="21" spans="1:14" x14ac:dyDescent="0.35">
      <c r="A21" s="2" t="s">
        <v>34</v>
      </c>
      <c r="B21" s="5">
        <v>90002</v>
      </c>
      <c r="C21" s="5">
        <v>36626</v>
      </c>
      <c r="D21" s="5">
        <v>36600</v>
      </c>
      <c r="E21">
        <v>11.78</v>
      </c>
      <c r="F21" s="5">
        <f t="shared" si="0"/>
        <v>90002</v>
      </c>
      <c r="G21" s="2">
        <v>1</v>
      </c>
      <c r="H21">
        <v>76.39</v>
      </c>
      <c r="I21" s="5">
        <v>96200</v>
      </c>
      <c r="J21" s="9">
        <f t="shared" si="1"/>
        <v>-6.4428274428274479E-2</v>
      </c>
      <c r="K21">
        <v>873.67</v>
      </c>
      <c r="L21" s="10">
        <v>1.2557172557172556E-2</v>
      </c>
      <c r="M21" s="10">
        <v>0.56711018711018713</v>
      </c>
      <c r="N21" s="8">
        <v>0.9536</v>
      </c>
    </row>
    <row r="22" spans="1:14" x14ac:dyDescent="0.35">
      <c r="A22" s="2" t="s">
        <v>62</v>
      </c>
      <c r="B22" s="5">
        <v>6887</v>
      </c>
      <c r="C22" s="5">
        <v>3620</v>
      </c>
      <c r="D22" s="5">
        <v>3602</v>
      </c>
      <c r="E22">
        <v>1.7</v>
      </c>
      <c r="F22" s="5">
        <f t="shared" si="0"/>
        <v>6887</v>
      </c>
      <c r="G22" s="2">
        <v>1</v>
      </c>
      <c r="H22">
        <v>40.57</v>
      </c>
      <c r="I22" s="5">
        <v>7326</v>
      </c>
      <c r="J22" s="9">
        <f t="shared" si="1"/>
        <v>-5.992355992355991E-2</v>
      </c>
      <c r="K22" s="6">
        <v>2287.19</v>
      </c>
      <c r="L22" s="10">
        <v>2.4570024570024569E-3</v>
      </c>
      <c r="M22" s="10">
        <v>0.56811356811356817</v>
      </c>
      <c r="N22" s="8">
        <v>0.98430000000000006</v>
      </c>
    </row>
    <row r="23" spans="1:14" x14ac:dyDescent="0.35">
      <c r="A23" s="2" t="s">
        <v>51</v>
      </c>
      <c r="B23" s="5">
        <v>32395</v>
      </c>
      <c r="C23" s="5">
        <v>14456</v>
      </c>
      <c r="D23" s="5">
        <v>14437</v>
      </c>
      <c r="E23">
        <v>8.57</v>
      </c>
      <c r="F23" s="5">
        <f t="shared" si="0"/>
        <v>32395</v>
      </c>
      <c r="G23" s="2">
        <v>1</v>
      </c>
      <c r="H23">
        <v>37.799999999999997</v>
      </c>
      <c r="I23" s="5">
        <v>28816</v>
      </c>
      <c r="J23" s="9">
        <f t="shared" si="1"/>
        <v>0.1242018323153804</v>
      </c>
      <c r="K23" s="6">
        <v>1784.4</v>
      </c>
      <c r="L23" s="10">
        <v>8.2593003886729591E-3</v>
      </c>
      <c r="M23" s="10">
        <v>0.55927262631871177</v>
      </c>
      <c r="N23" s="8">
        <v>0.96889999999999998</v>
      </c>
    </row>
    <row r="24" spans="1:14" x14ac:dyDescent="0.35">
      <c r="A24" s="2" t="s">
        <v>80</v>
      </c>
      <c r="B24" s="5">
        <v>40633</v>
      </c>
      <c r="C24" s="5">
        <v>16365</v>
      </c>
      <c r="D24" s="5">
        <v>16363</v>
      </c>
      <c r="E24">
        <v>21.58</v>
      </c>
      <c r="F24" s="5">
        <f t="shared" si="0"/>
        <v>40633</v>
      </c>
      <c r="G24" s="2">
        <v>1</v>
      </c>
      <c r="H24">
        <v>18.829999999999998</v>
      </c>
      <c r="I24" s="5">
        <v>26657</v>
      </c>
      <c r="J24" s="9">
        <f t="shared" si="1"/>
        <v>0.52429005514499005</v>
      </c>
      <c r="K24">
        <v>627.14</v>
      </c>
      <c r="L24" s="10">
        <v>1.3167273136511986E-2</v>
      </c>
      <c r="M24" s="10">
        <v>0.53156769328881714</v>
      </c>
      <c r="N24" s="8">
        <v>0.97439999999999993</v>
      </c>
    </row>
    <row r="25" spans="1:14" x14ac:dyDescent="0.35">
      <c r="A25" s="2" t="s">
        <v>35</v>
      </c>
      <c r="B25" s="5">
        <v>18147</v>
      </c>
      <c r="C25" s="5">
        <v>7872</v>
      </c>
      <c r="D25" s="5">
        <v>7860</v>
      </c>
      <c r="E25">
        <v>3.25</v>
      </c>
      <c r="F25" s="5">
        <f t="shared" si="0"/>
        <v>18147</v>
      </c>
      <c r="G25" s="2">
        <v>1</v>
      </c>
      <c r="H25">
        <v>55.85</v>
      </c>
      <c r="I25" s="5">
        <v>20473</v>
      </c>
      <c r="J25" s="9">
        <f t="shared" si="1"/>
        <v>-0.11361305133590582</v>
      </c>
      <c r="K25" s="6">
        <v>1253.43</v>
      </c>
      <c r="L25" s="10">
        <v>7.4244126410394178E-3</v>
      </c>
      <c r="M25" s="10">
        <v>0.60406388902456898</v>
      </c>
      <c r="N25" s="8">
        <v>0.97840000000000005</v>
      </c>
    </row>
    <row r="26" spans="1:14" x14ac:dyDescent="0.35">
      <c r="A26" s="2" t="s">
        <v>44</v>
      </c>
      <c r="B26" s="5">
        <v>37852</v>
      </c>
      <c r="C26" s="5">
        <v>17127</v>
      </c>
      <c r="D26" s="5">
        <v>17099</v>
      </c>
      <c r="E26">
        <v>5.05</v>
      </c>
      <c r="F26" s="5">
        <f t="shared" si="0"/>
        <v>37852</v>
      </c>
      <c r="G26" s="2">
        <v>1</v>
      </c>
      <c r="H26">
        <v>74.959999999999994</v>
      </c>
      <c r="I26" s="5">
        <v>36065</v>
      </c>
      <c r="J26" s="9">
        <f t="shared" si="1"/>
        <v>4.9549424649937723E-2</v>
      </c>
      <c r="K26" s="6">
        <v>1127.82</v>
      </c>
      <c r="L26" s="10">
        <v>6.7932898932483018E-3</v>
      </c>
      <c r="M26" s="10">
        <v>0.60260640510189933</v>
      </c>
      <c r="N26" s="8">
        <v>0.97589999999999999</v>
      </c>
    </row>
    <row r="27" spans="1:14" x14ac:dyDescent="0.35">
      <c r="A27" s="2" t="s">
        <v>63</v>
      </c>
      <c r="B27" s="5">
        <v>2160</v>
      </c>
      <c r="C27">
        <v>907</v>
      </c>
      <c r="D27">
        <v>906</v>
      </c>
      <c r="E27">
        <v>2.1800000000000002</v>
      </c>
      <c r="F27" s="5">
        <f t="shared" si="0"/>
        <v>2160</v>
      </c>
      <c r="G27" s="2">
        <v>1</v>
      </c>
      <c r="H27">
        <v>9.9</v>
      </c>
      <c r="I27" s="5">
        <v>2161</v>
      </c>
      <c r="J27" s="9">
        <f t="shared" si="1"/>
        <v>-4.6274872744100914E-4</v>
      </c>
      <c r="K27" s="6">
        <v>2222.34</v>
      </c>
      <c r="L27" s="10">
        <v>7.4039796390559928E-3</v>
      </c>
      <c r="M27" s="10">
        <v>0.55159648310967146</v>
      </c>
      <c r="N27" s="8">
        <v>0.98199999999999998</v>
      </c>
    </row>
    <row r="28" spans="1:14" x14ac:dyDescent="0.35">
      <c r="A28" s="2" t="s">
        <v>82</v>
      </c>
      <c r="B28" s="5">
        <v>7288</v>
      </c>
      <c r="C28" s="5">
        <v>2948</v>
      </c>
      <c r="D28" s="5">
        <v>2947</v>
      </c>
      <c r="E28">
        <v>8.2200000000000006</v>
      </c>
      <c r="F28" s="5">
        <f t="shared" si="0"/>
        <v>7288</v>
      </c>
      <c r="G28" s="2">
        <v>1</v>
      </c>
      <c r="H28">
        <v>8.8699999999999992</v>
      </c>
      <c r="I28" s="5">
        <v>2522</v>
      </c>
      <c r="J28" s="9">
        <f t="shared" si="1"/>
        <v>1.8897700237906423</v>
      </c>
      <c r="K28">
        <v>559.51</v>
      </c>
      <c r="L28" s="10">
        <v>1.8239492466296591E-2</v>
      </c>
      <c r="M28" s="10">
        <v>0.49286280729579701</v>
      </c>
      <c r="N28" s="8">
        <v>0.93389999999999995</v>
      </c>
    </row>
    <row r="29" spans="1:14" x14ac:dyDescent="0.35">
      <c r="A29" s="2" t="s">
        <v>11</v>
      </c>
      <c r="B29" s="5">
        <v>38671</v>
      </c>
      <c r="C29" s="5">
        <v>30635</v>
      </c>
      <c r="D29" s="5">
        <v>30389</v>
      </c>
      <c r="E29">
        <v>3.28</v>
      </c>
      <c r="F29" s="5">
        <f t="shared" si="0"/>
        <v>38671</v>
      </c>
      <c r="G29" s="2">
        <v>1</v>
      </c>
      <c r="H29">
        <v>117.79</v>
      </c>
      <c r="I29" s="5">
        <v>37283</v>
      </c>
      <c r="J29" s="9">
        <f t="shared" si="1"/>
        <v>3.7228763779738827E-2</v>
      </c>
      <c r="K29" s="6">
        <v>2393.4899999999998</v>
      </c>
      <c r="L29" s="10">
        <v>3.5136657457822602E-3</v>
      </c>
      <c r="M29" s="10">
        <v>0.63213797172974273</v>
      </c>
      <c r="N29" s="8">
        <v>0.99040000000000006</v>
      </c>
    </row>
    <row r="30" spans="1:14" x14ac:dyDescent="0.35">
      <c r="A30" s="2" t="s">
        <v>12</v>
      </c>
      <c r="B30" s="5">
        <v>4473</v>
      </c>
      <c r="C30" s="5">
        <v>3043</v>
      </c>
      <c r="D30" s="5">
        <v>3039</v>
      </c>
      <c r="E30">
        <v>0.95</v>
      </c>
      <c r="F30" s="5">
        <f t="shared" si="0"/>
        <v>4473</v>
      </c>
      <c r="G30" s="2">
        <v>1</v>
      </c>
      <c r="H30">
        <v>47.22</v>
      </c>
      <c r="I30" s="5">
        <v>4783</v>
      </c>
      <c r="J30" s="9">
        <f t="shared" si="1"/>
        <v>-6.4812878946268082E-2</v>
      </c>
      <c r="K30" s="6">
        <v>3170.22</v>
      </c>
      <c r="L30" s="10">
        <v>3.5542546518921177E-3</v>
      </c>
      <c r="M30" s="10">
        <v>0.57746184403094292</v>
      </c>
      <c r="N30" s="8">
        <v>0.99309999999999998</v>
      </c>
    </row>
    <row r="31" spans="1:14" x14ac:dyDescent="0.35">
      <c r="A31" s="2" t="s">
        <v>73</v>
      </c>
      <c r="B31" s="5">
        <v>172510</v>
      </c>
      <c r="C31" s="5">
        <v>71481</v>
      </c>
      <c r="D31" s="5">
        <v>71448</v>
      </c>
      <c r="E31">
        <v>44.27</v>
      </c>
      <c r="F31" s="5">
        <f t="shared" si="0"/>
        <v>172510</v>
      </c>
      <c r="G31" s="2">
        <v>1</v>
      </c>
      <c r="H31">
        <v>38.96</v>
      </c>
      <c r="I31" s="5">
        <v>172822</v>
      </c>
      <c r="J31" s="9">
        <f t="shared" si="1"/>
        <v>-1.8053257108470167E-3</v>
      </c>
      <c r="K31">
        <v>779.67</v>
      </c>
      <c r="L31" s="10">
        <v>1.1480019904873223E-2</v>
      </c>
      <c r="M31" s="10">
        <v>0.56881647012533132</v>
      </c>
      <c r="N31" s="8">
        <v>0.95569999999999988</v>
      </c>
    </row>
    <row r="32" spans="1:14" x14ac:dyDescent="0.35">
      <c r="A32" s="2" t="s">
        <v>13</v>
      </c>
      <c r="B32" s="5">
        <v>17604</v>
      </c>
      <c r="C32" s="5">
        <v>10328</v>
      </c>
      <c r="D32" s="5">
        <v>10317</v>
      </c>
      <c r="E32">
        <v>1.45</v>
      </c>
      <c r="F32" s="5">
        <f t="shared" si="0"/>
        <v>17604</v>
      </c>
      <c r="G32" s="2">
        <v>1</v>
      </c>
      <c r="H32">
        <v>121.66</v>
      </c>
      <c r="I32" s="5">
        <v>13795</v>
      </c>
      <c r="J32" s="9">
        <f t="shared" si="1"/>
        <v>0.27611453425154031</v>
      </c>
      <c r="K32" s="6">
        <v>2856.15</v>
      </c>
      <c r="L32" s="10">
        <v>2.2471910112359553E-3</v>
      </c>
      <c r="M32" s="10">
        <v>0.57578832910474809</v>
      </c>
      <c r="N32" s="8">
        <v>0.99480000000000002</v>
      </c>
    </row>
    <row r="33" spans="1:14" x14ac:dyDescent="0.35">
      <c r="A33" s="2" t="s">
        <v>46</v>
      </c>
      <c r="B33" s="5">
        <v>8397</v>
      </c>
      <c r="C33" s="5">
        <v>3716</v>
      </c>
      <c r="D33" s="5">
        <v>3716</v>
      </c>
      <c r="E33">
        <v>2.02</v>
      </c>
      <c r="F33" s="5">
        <f t="shared" si="0"/>
        <v>8397</v>
      </c>
      <c r="G33" s="2">
        <v>1</v>
      </c>
      <c r="H33">
        <v>41.6</v>
      </c>
      <c r="I33" s="5">
        <v>8415</v>
      </c>
      <c r="J33" s="9">
        <f t="shared" si="1"/>
        <v>-2.1390374331551332E-3</v>
      </c>
      <c r="K33" s="6">
        <v>1308.01</v>
      </c>
      <c r="L33" s="10">
        <v>6.1794414735591207E-3</v>
      </c>
      <c r="M33" s="10">
        <v>0.60285204991087349</v>
      </c>
      <c r="N33" s="8">
        <v>0.98340000000000005</v>
      </c>
    </row>
    <row r="34" spans="1:14" x14ac:dyDescent="0.35">
      <c r="A34" s="2" t="s">
        <v>53</v>
      </c>
      <c r="B34" s="5">
        <v>25380</v>
      </c>
      <c r="C34" s="5">
        <v>10727</v>
      </c>
      <c r="D34" s="5">
        <v>10721</v>
      </c>
      <c r="E34">
        <v>3.72</v>
      </c>
      <c r="F34" s="5">
        <f t="shared" si="0"/>
        <v>25380</v>
      </c>
      <c r="G34" s="2">
        <v>1</v>
      </c>
      <c r="H34">
        <v>68.16</v>
      </c>
      <c r="I34" s="5">
        <v>28074</v>
      </c>
      <c r="J34" s="9">
        <f t="shared" si="1"/>
        <v>-9.5960675357982472E-2</v>
      </c>
      <c r="K34">
        <v>984.18</v>
      </c>
      <c r="L34" s="10">
        <v>7.6227114055709908E-3</v>
      </c>
      <c r="M34" s="10">
        <v>0.60009261238156297</v>
      </c>
      <c r="N34" s="8">
        <v>0.96360000000000001</v>
      </c>
    </row>
    <row r="35" spans="1:14" x14ac:dyDescent="0.35">
      <c r="A35" s="2" t="s">
        <v>76</v>
      </c>
      <c r="B35" s="5">
        <v>19045</v>
      </c>
      <c r="C35" s="5">
        <v>7243</v>
      </c>
      <c r="D35" s="5">
        <v>7240</v>
      </c>
      <c r="E35">
        <v>11.66</v>
      </c>
      <c r="F35" s="5">
        <f t="shared" si="0"/>
        <v>19045</v>
      </c>
      <c r="G35" s="2">
        <v>1</v>
      </c>
      <c r="H35">
        <v>16.329999999999998</v>
      </c>
      <c r="I35" s="5">
        <v>11178</v>
      </c>
      <c r="J35" s="9">
        <f t="shared" si="1"/>
        <v>0.70379316514582224</v>
      </c>
      <c r="K35">
        <v>615.91</v>
      </c>
      <c r="L35" s="10">
        <v>2.2275899087493289E-2</v>
      </c>
      <c r="M35" s="10">
        <v>0.5038468420110932</v>
      </c>
      <c r="N35" s="8">
        <v>0.93610000000000004</v>
      </c>
    </row>
    <row r="36" spans="1:14" x14ac:dyDescent="0.35">
      <c r="A36" s="2" t="s">
        <v>36</v>
      </c>
      <c r="B36" s="5">
        <v>10650</v>
      </c>
      <c r="C36" s="5">
        <v>4571</v>
      </c>
      <c r="D36" s="5">
        <v>4561</v>
      </c>
      <c r="E36">
        <v>2.65</v>
      </c>
      <c r="F36" s="5">
        <f t="shared" si="0"/>
        <v>10650</v>
      </c>
      <c r="G36" s="2">
        <v>1</v>
      </c>
      <c r="H36">
        <v>40.119999999999997</v>
      </c>
      <c r="I36" s="5">
        <v>11461</v>
      </c>
      <c r="J36" s="9">
        <f t="shared" si="1"/>
        <v>-7.0761713637553458E-2</v>
      </c>
      <c r="K36" s="6">
        <v>1746.35</v>
      </c>
      <c r="L36" s="10">
        <v>6.2821743303376667E-3</v>
      </c>
      <c r="M36" s="10">
        <v>0.56120757351016493</v>
      </c>
      <c r="N36" s="8">
        <v>0.98199999999999998</v>
      </c>
    </row>
    <row r="37" spans="1:14" x14ac:dyDescent="0.35">
      <c r="A37" s="2" t="s">
        <v>54</v>
      </c>
      <c r="B37" s="5">
        <v>14791</v>
      </c>
      <c r="C37" s="5">
        <v>6398</v>
      </c>
      <c r="D37" s="5">
        <v>6389</v>
      </c>
      <c r="E37">
        <v>2.31</v>
      </c>
      <c r="F37" s="5">
        <f t="shared" si="0"/>
        <v>14791</v>
      </c>
      <c r="G37" s="2">
        <v>1</v>
      </c>
      <c r="H37">
        <v>63.99</v>
      </c>
      <c r="I37" s="5">
        <v>14904</v>
      </c>
      <c r="J37" s="9">
        <f t="shared" si="1"/>
        <v>-7.5818572195384126E-3</v>
      </c>
      <c r="K37" s="6">
        <v>1191.3399999999999</v>
      </c>
      <c r="L37" s="10">
        <v>9.6618357487922701E-3</v>
      </c>
      <c r="M37" s="10">
        <v>0.58407139023081056</v>
      </c>
      <c r="N37" s="8">
        <v>0.96790000000000009</v>
      </c>
    </row>
    <row r="38" spans="1:14" x14ac:dyDescent="0.35">
      <c r="A38" s="2" t="s">
        <v>42</v>
      </c>
      <c r="B38" s="5">
        <v>11846</v>
      </c>
      <c r="C38" s="5">
        <v>5584</v>
      </c>
      <c r="D38" s="5">
        <v>5570</v>
      </c>
      <c r="E38">
        <v>3.99</v>
      </c>
      <c r="F38" s="5">
        <f t="shared" si="0"/>
        <v>11846</v>
      </c>
      <c r="G38" s="2">
        <v>1</v>
      </c>
      <c r="H38">
        <v>29.69</v>
      </c>
      <c r="I38" s="5">
        <v>13315</v>
      </c>
      <c r="J38" s="9">
        <f t="shared" si="1"/>
        <v>-0.11032669921141569</v>
      </c>
      <c r="K38" s="6">
        <v>1336.02</v>
      </c>
      <c r="L38" s="10">
        <v>6.9095005632745024E-3</v>
      </c>
      <c r="M38" s="10">
        <v>0.60195268494179499</v>
      </c>
      <c r="N38" s="8">
        <v>0.98060000000000003</v>
      </c>
    </row>
    <row r="39" spans="1:14" x14ac:dyDescent="0.35">
      <c r="A39" s="2" t="s">
        <v>14</v>
      </c>
      <c r="B39" s="5">
        <v>4177</v>
      </c>
      <c r="C39" s="5">
        <v>1957</v>
      </c>
      <c r="D39" s="5">
        <v>1952</v>
      </c>
      <c r="E39">
        <v>1.18</v>
      </c>
      <c r="F39" s="5">
        <f t="shared" si="0"/>
        <v>4177</v>
      </c>
      <c r="G39" s="2">
        <v>1</v>
      </c>
      <c r="H39">
        <v>35.270000000000003</v>
      </c>
      <c r="I39" s="5">
        <v>3392</v>
      </c>
      <c r="J39" s="9">
        <f t="shared" si="1"/>
        <v>0.23142688679245293</v>
      </c>
      <c r="K39" s="6">
        <v>3143.61</v>
      </c>
      <c r="L39" s="10">
        <v>3.5377358490566039E-3</v>
      </c>
      <c r="M39" s="10">
        <v>0.49145047169811323</v>
      </c>
      <c r="N39" s="8">
        <v>0.99040000000000006</v>
      </c>
    </row>
    <row r="40" spans="1:14" x14ac:dyDescent="0.35">
      <c r="A40" s="2" t="s">
        <v>15</v>
      </c>
      <c r="B40" s="5">
        <v>5442</v>
      </c>
      <c r="C40" s="5">
        <v>2792</v>
      </c>
      <c r="D40" s="5">
        <v>2772</v>
      </c>
      <c r="E40">
        <v>2.76</v>
      </c>
      <c r="F40" s="5">
        <f t="shared" si="0"/>
        <v>5442</v>
      </c>
      <c r="G40" s="2">
        <v>1</v>
      </c>
      <c r="H40">
        <v>19.739999999999998</v>
      </c>
      <c r="I40" s="5">
        <v>6172</v>
      </c>
      <c r="J40" s="9">
        <f t="shared" si="1"/>
        <v>-0.11827608554763447</v>
      </c>
      <c r="K40" s="6">
        <v>1853.29</v>
      </c>
      <c r="L40" s="10">
        <v>1.3609850939727802E-2</v>
      </c>
      <c r="M40" s="10">
        <v>0.60191186001296171</v>
      </c>
      <c r="N40" s="8">
        <v>0.97340000000000004</v>
      </c>
    </row>
    <row r="41" spans="1:14" x14ac:dyDescent="0.35">
      <c r="A41" s="2" t="s">
        <v>37</v>
      </c>
      <c r="B41" s="5">
        <v>15059</v>
      </c>
      <c r="C41" s="5">
        <v>6157</v>
      </c>
      <c r="D41" s="5">
        <v>6126</v>
      </c>
      <c r="E41">
        <v>3.86</v>
      </c>
      <c r="F41" s="5">
        <f t="shared" si="0"/>
        <v>15059</v>
      </c>
      <c r="G41" s="2">
        <v>1</v>
      </c>
      <c r="H41">
        <v>39.020000000000003</v>
      </c>
      <c r="I41" s="5">
        <v>15313</v>
      </c>
      <c r="J41" s="9">
        <f t="shared" si="1"/>
        <v>-1.658721347874359E-2</v>
      </c>
      <c r="K41" s="6">
        <v>2164.6</v>
      </c>
      <c r="L41" s="10">
        <v>2.4162476327303597E-3</v>
      </c>
      <c r="M41" s="10">
        <v>0.54274146150329783</v>
      </c>
      <c r="N41" s="8">
        <v>0.98819999999999997</v>
      </c>
    </row>
    <row r="42" spans="1:14" x14ac:dyDescent="0.35">
      <c r="A42" s="2" t="s">
        <v>16</v>
      </c>
      <c r="B42" s="5">
        <v>4902</v>
      </c>
      <c r="C42" s="5">
        <v>2035</v>
      </c>
      <c r="D42" s="5">
        <v>2030</v>
      </c>
      <c r="E42">
        <v>1.96</v>
      </c>
      <c r="F42" s="5">
        <f t="shared" si="0"/>
        <v>4902</v>
      </c>
      <c r="G42" s="2">
        <v>1</v>
      </c>
      <c r="H42">
        <v>25.03</v>
      </c>
      <c r="I42" s="5">
        <v>5698</v>
      </c>
      <c r="J42" s="9">
        <f t="shared" si="1"/>
        <v>-0.13969813969813971</v>
      </c>
      <c r="K42" s="6">
        <v>3265.9</v>
      </c>
      <c r="L42" s="10">
        <v>1.4040014040014039E-3</v>
      </c>
      <c r="M42" s="10">
        <v>0.45840645840645838</v>
      </c>
      <c r="N42" s="8">
        <v>0.99439999999999995</v>
      </c>
    </row>
    <row r="43" spans="1:14" x14ac:dyDescent="0.35">
      <c r="A43" s="2" t="s">
        <v>17</v>
      </c>
      <c r="B43" s="5">
        <v>12001</v>
      </c>
      <c r="C43" s="5">
        <v>6530</v>
      </c>
      <c r="D43" s="5">
        <v>6513</v>
      </c>
      <c r="E43">
        <v>1.23</v>
      </c>
      <c r="F43" s="5">
        <f t="shared" si="0"/>
        <v>12001</v>
      </c>
      <c r="G43" s="2">
        <v>1</v>
      </c>
      <c r="H43">
        <v>97.4</v>
      </c>
      <c r="I43" s="5">
        <v>11582</v>
      </c>
      <c r="J43" s="9">
        <f t="shared" si="1"/>
        <v>3.6176826109480142E-2</v>
      </c>
      <c r="K43" s="6">
        <v>3323.66</v>
      </c>
      <c r="L43" s="10">
        <v>1.8131583491624935E-3</v>
      </c>
      <c r="M43" s="10">
        <v>0.51208772232774991</v>
      </c>
      <c r="N43" s="8">
        <v>0.98519999999999996</v>
      </c>
    </row>
    <row r="44" spans="1:14" x14ac:dyDescent="0.35">
      <c r="A44" s="2" t="s">
        <v>64</v>
      </c>
      <c r="B44" s="5">
        <v>1146</v>
      </c>
      <c r="C44">
        <v>485</v>
      </c>
      <c r="D44">
        <v>485</v>
      </c>
      <c r="E44">
        <v>3.51</v>
      </c>
      <c r="F44" s="5">
        <f t="shared" si="0"/>
        <v>1146</v>
      </c>
      <c r="G44" s="2">
        <v>1</v>
      </c>
      <c r="H44">
        <v>3.26</v>
      </c>
      <c r="I44" s="5">
        <v>1056</v>
      </c>
      <c r="J44" s="9">
        <f t="shared" si="1"/>
        <v>8.5227272727272707E-2</v>
      </c>
      <c r="K44">
        <v>815.34</v>
      </c>
      <c r="L44" s="10">
        <v>1.231060606060606E-2</v>
      </c>
      <c r="M44" s="10">
        <v>0.60416666666666663</v>
      </c>
      <c r="N44" s="8">
        <v>0.92959999999999998</v>
      </c>
    </row>
    <row r="45" spans="1:14" x14ac:dyDescent="0.35">
      <c r="A45" s="2" t="s">
        <v>47</v>
      </c>
      <c r="B45" s="5">
        <v>8336</v>
      </c>
      <c r="C45" s="5">
        <v>3697</v>
      </c>
      <c r="D45" s="5">
        <v>3697</v>
      </c>
      <c r="E45">
        <v>1.18</v>
      </c>
      <c r="F45" s="5">
        <f t="shared" si="0"/>
        <v>8336</v>
      </c>
      <c r="G45" s="2">
        <v>1</v>
      </c>
      <c r="H45">
        <v>70.540000000000006</v>
      </c>
      <c r="I45" s="5">
        <v>8584</v>
      </c>
      <c r="J45" s="9">
        <f t="shared" si="1"/>
        <v>-2.8890959925442661E-2</v>
      </c>
      <c r="K45">
        <v>978.59</v>
      </c>
      <c r="L45" s="10">
        <v>9.2031686859273074E-3</v>
      </c>
      <c r="M45" s="10">
        <v>0.59622553588070826</v>
      </c>
      <c r="N45" s="8">
        <v>0.96550000000000002</v>
      </c>
    </row>
    <row r="46" spans="1:14" x14ac:dyDescent="0.35">
      <c r="A46" s="2" t="s">
        <v>18</v>
      </c>
      <c r="B46" s="5">
        <v>12290</v>
      </c>
      <c r="C46" s="5">
        <v>6638</v>
      </c>
      <c r="D46" s="5">
        <v>6625</v>
      </c>
      <c r="E46">
        <v>3.59</v>
      </c>
      <c r="F46" s="5">
        <f t="shared" si="0"/>
        <v>12290</v>
      </c>
      <c r="G46" s="2">
        <v>1</v>
      </c>
      <c r="H46">
        <v>34.200000000000003</v>
      </c>
      <c r="I46" s="5">
        <v>12907</v>
      </c>
      <c r="J46" s="9">
        <f t="shared" si="1"/>
        <v>-4.7803517471139645E-2</v>
      </c>
      <c r="K46" s="6">
        <v>2236.09</v>
      </c>
      <c r="L46" s="10">
        <v>3.8738668939335245E-3</v>
      </c>
      <c r="M46" s="10">
        <v>0.58402417292941811</v>
      </c>
      <c r="N46" s="8">
        <v>0.99019999999999997</v>
      </c>
    </row>
    <row r="47" spans="1:14" x14ac:dyDescent="0.35">
      <c r="A47" s="2" t="s">
        <v>65</v>
      </c>
      <c r="B47" s="5">
        <v>12246</v>
      </c>
      <c r="C47" s="5">
        <v>5349</v>
      </c>
      <c r="D47" s="5">
        <v>5343</v>
      </c>
      <c r="E47">
        <v>3.37</v>
      </c>
      <c r="F47" s="5">
        <f t="shared" si="0"/>
        <v>12246</v>
      </c>
      <c r="G47" s="2">
        <v>1</v>
      </c>
      <c r="H47">
        <v>36.39</v>
      </c>
      <c r="I47" s="5">
        <v>9664</v>
      </c>
      <c r="J47" s="9">
        <f t="shared" si="1"/>
        <v>0.26717715231788075</v>
      </c>
      <c r="K47" s="6">
        <v>3583.9</v>
      </c>
      <c r="L47" s="10">
        <v>6.0016556291390731E-3</v>
      </c>
      <c r="M47" s="10">
        <v>0.44143211920529801</v>
      </c>
      <c r="N47" s="8">
        <v>0.98419999999999996</v>
      </c>
    </row>
    <row r="48" spans="1:14" x14ac:dyDescent="0.35">
      <c r="A48" s="2" t="s">
        <v>48</v>
      </c>
      <c r="B48" s="5">
        <v>42073</v>
      </c>
      <c r="C48" s="5">
        <v>19597</v>
      </c>
      <c r="D48" s="5">
        <v>19582</v>
      </c>
      <c r="E48">
        <v>5.95</v>
      </c>
      <c r="F48" s="5">
        <f t="shared" si="0"/>
        <v>42073</v>
      </c>
      <c r="G48" s="2">
        <v>1</v>
      </c>
      <c r="H48">
        <v>70.73</v>
      </c>
      <c r="I48" s="5">
        <v>44063</v>
      </c>
      <c r="J48" s="9">
        <f t="shared" si="1"/>
        <v>-4.5162608083879952E-2</v>
      </c>
      <c r="K48" s="6">
        <v>1231.25</v>
      </c>
      <c r="L48" s="10">
        <v>6.9219072691373718E-3</v>
      </c>
      <c r="M48" s="10">
        <v>0.59825704105485333</v>
      </c>
      <c r="N48" s="8">
        <v>0.9706999999999999</v>
      </c>
    </row>
    <row r="49" spans="1:14" x14ac:dyDescent="0.35">
      <c r="A49" s="2" t="s">
        <v>66</v>
      </c>
      <c r="B49" s="5">
        <v>8261</v>
      </c>
      <c r="C49" s="5">
        <v>3331</v>
      </c>
      <c r="D49" s="5">
        <v>3329</v>
      </c>
      <c r="E49">
        <v>5.12</v>
      </c>
      <c r="F49" s="5">
        <f t="shared" si="0"/>
        <v>8261</v>
      </c>
      <c r="G49" s="2">
        <v>1</v>
      </c>
      <c r="H49">
        <v>16.13</v>
      </c>
      <c r="I49" s="5">
        <v>8105</v>
      </c>
      <c r="J49" s="9">
        <f t="shared" si="1"/>
        <v>1.9247378161628692E-2</v>
      </c>
      <c r="K49" s="6">
        <v>1344.47</v>
      </c>
      <c r="L49" s="10">
        <v>7.15607649599013E-3</v>
      </c>
      <c r="M49" s="10">
        <v>0.56372609500308457</v>
      </c>
      <c r="N49" s="8">
        <v>0.96970000000000001</v>
      </c>
    </row>
    <row r="50" spans="1:14" x14ac:dyDescent="0.35">
      <c r="A50" s="2" t="s">
        <v>55</v>
      </c>
      <c r="B50" s="5">
        <v>9925</v>
      </c>
      <c r="C50" s="5">
        <v>4127</v>
      </c>
      <c r="D50" s="5">
        <v>4117</v>
      </c>
      <c r="E50">
        <v>2.2599999999999998</v>
      </c>
      <c r="F50" s="5">
        <f t="shared" si="0"/>
        <v>9925</v>
      </c>
      <c r="G50" s="2">
        <v>1</v>
      </c>
      <c r="H50">
        <v>43.95</v>
      </c>
      <c r="I50" s="5">
        <v>11554</v>
      </c>
      <c r="J50" s="9">
        <f t="shared" si="1"/>
        <v>-0.14099013328717325</v>
      </c>
      <c r="K50" s="6">
        <v>1184.42</v>
      </c>
      <c r="L50" s="10">
        <v>1.8954474640817034E-2</v>
      </c>
      <c r="M50" s="10">
        <v>0.53202354163060417</v>
      </c>
      <c r="N50" s="8">
        <v>0.94340000000000002</v>
      </c>
    </row>
    <row r="51" spans="1:14" x14ac:dyDescent="0.35">
      <c r="A51" s="2" t="s">
        <v>29</v>
      </c>
      <c r="B51" s="5">
        <v>27044</v>
      </c>
      <c r="C51" s="5">
        <v>11360</v>
      </c>
      <c r="D51" s="5">
        <v>11350</v>
      </c>
      <c r="E51">
        <v>7.1</v>
      </c>
      <c r="F51" s="5">
        <f t="shared" si="0"/>
        <v>27044</v>
      </c>
      <c r="G51" s="2">
        <v>1</v>
      </c>
      <c r="H51">
        <v>38.07</v>
      </c>
      <c r="I51" s="5">
        <v>28480</v>
      </c>
      <c r="J51" s="9">
        <f t="shared" si="1"/>
        <v>-5.0421348314606762E-2</v>
      </c>
      <c r="K51" s="6">
        <v>1272.1099999999999</v>
      </c>
      <c r="L51" s="10">
        <v>8.5323033707865176E-3</v>
      </c>
      <c r="M51" s="10">
        <v>0.56485252808988762</v>
      </c>
      <c r="N51" s="8">
        <v>0.9706999999999999</v>
      </c>
    </row>
    <row r="52" spans="1:14" x14ac:dyDescent="0.35">
      <c r="A52" s="2" t="s">
        <v>45</v>
      </c>
      <c r="B52" s="5">
        <v>56440</v>
      </c>
      <c r="C52" s="5">
        <v>24100</v>
      </c>
      <c r="D52" s="5">
        <v>24081</v>
      </c>
      <c r="E52">
        <v>10.51</v>
      </c>
      <c r="F52" s="5">
        <f t="shared" si="0"/>
        <v>56440</v>
      </c>
      <c r="G52" s="2">
        <v>1</v>
      </c>
      <c r="H52">
        <v>53.68</v>
      </c>
      <c r="I52" s="5">
        <v>50401</v>
      </c>
      <c r="J52" s="9">
        <f t="shared" si="1"/>
        <v>0.11981905120930136</v>
      </c>
      <c r="K52">
        <v>844.62</v>
      </c>
      <c r="L52" s="10">
        <v>1.2122775341759092E-2</v>
      </c>
      <c r="M52" s="10">
        <v>0.56111981905120933</v>
      </c>
      <c r="N52" s="8">
        <v>0.96050000000000002</v>
      </c>
    </row>
    <row r="53" spans="1:14" x14ac:dyDescent="0.35">
      <c r="A53" s="2" t="s">
        <v>56</v>
      </c>
      <c r="B53" s="5">
        <v>49180</v>
      </c>
      <c r="C53" s="5">
        <v>23839</v>
      </c>
      <c r="D53" s="5">
        <v>23820</v>
      </c>
      <c r="E53">
        <v>5.86</v>
      </c>
      <c r="F53" s="5">
        <f t="shared" si="0"/>
        <v>49180</v>
      </c>
      <c r="G53" s="2">
        <v>1</v>
      </c>
      <c r="H53">
        <v>83.95</v>
      </c>
      <c r="I53" s="5">
        <v>42662</v>
      </c>
      <c r="J53" s="9">
        <f t="shared" si="1"/>
        <v>0.15278233556795273</v>
      </c>
      <c r="K53" s="6">
        <v>1861.34</v>
      </c>
      <c r="L53" s="10">
        <v>4.172331348741269E-3</v>
      </c>
      <c r="M53" s="10">
        <v>0.58126670104542688</v>
      </c>
      <c r="N53" s="8">
        <v>0.98670000000000002</v>
      </c>
    </row>
    <row r="54" spans="1:14" x14ac:dyDescent="0.35">
      <c r="A54" s="2" t="s">
        <v>19</v>
      </c>
      <c r="B54" s="5">
        <v>4907</v>
      </c>
      <c r="C54" s="5">
        <v>2835</v>
      </c>
      <c r="D54" s="5">
        <v>2832</v>
      </c>
      <c r="E54">
        <v>2.4300000000000002</v>
      </c>
      <c r="F54" s="5">
        <f t="shared" si="0"/>
        <v>4907</v>
      </c>
      <c r="G54" s="2">
        <v>1</v>
      </c>
      <c r="H54">
        <v>20.16</v>
      </c>
      <c r="I54" s="5">
        <v>6077</v>
      </c>
      <c r="J54" s="9">
        <f t="shared" si="1"/>
        <v>-0.19252920849103172</v>
      </c>
      <c r="K54">
        <v>691.78</v>
      </c>
      <c r="L54" s="10">
        <v>2.3531347704459436E-2</v>
      </c>
      <c r="M54" s="10">
        <v>0.52493006417640287</v>
      </c>
      <c r="N54" s="8">
        <v>0.90290000000000004</v>
      </c>
    </row>
    <row r="55" spans="1:14" x14ac:dyDescent="0.35">
      <c r="A55" s="2" t="s">
        <v>20</v>
      </c>
      <c r="B55" s="5">
        <v>13799</v>
      </c>
      <c r="C55" s="5">
        <v>9361</v>
      </c>
      <c r="D55" s="5">
        <v>9339</v>
      </c>
      <c r="E55">
        <v>2.97</v>
      </c>
      <c r="F55" s="5">
        <f t="shared" si="0"/>
        <v>13799</v>
      </c>
      <c r="G55" s="2">
        <v>1</v>
      </c>
      <c r="H55">
        <v>46.52</v>
      </c>
      <c r="I55" s="5">
        <v>14888</v>
      </c>
      <c r="J55" s="9">
        <f t="shared" si="1"/>
        <v>-7.3146157979580906E-2</v>
      </c>
      <c r="K55" s="6">
        <v>2163.96</v>
      </c>
      <c r="L55" s="10">
        <v>5.4406233207952718E-3</v>
      </c>
      <c r="M55" s="10">
        <v>0.6239924771628157</v>
      </c>
      <c r="N55" s="8">
        <v>0.98959999999999992</v>
      </c>
    </row>
    <row r="56" spans="1:14" x14ac:dyDescent="0.35">
      <c r="A56" s="2" t="s">
        <v>134</v>
      </c>
      <c r="B56" s="5">
        <v>442</v>
      </c>
      <c r="C56">
        <v>171</v>
      </c>
      <c r="D56">
        <v>171</v>
      </c>
      <c r="E56">
        <v>2.44</v>
      </c>
      <c r="F56" s="5">
        <f t="shared" si="0"/>
        <v>442</v>
      </c>
      <c r="G56" s="2">
        <v>1</v>
      </c>
      <c r="H56">
        <v>1.81</v>
      </c>
      <c r="I56">
        <v>289</v>
      </c>
      <c r="J56" s="9">
        <f t="shared" si="1"/>
        <v>0.52941176470588225</v>
      </c>
      <c r="K56">
        <v>770.79</v>
      </c>
      <c r="L56" s="10">
        <v>6.920415224913495E-3</v>
      </c>
      <c r="M56" s="10">
        <v>0.55017301038062283</v>
      </c>
      <c r="N56" s="8">
        <v>0.93730000000000002</v>
      </c>
    </row>
    <row r="57" spans="1:14" x14ac:dyDescent="0.35">
      <c r="A57" s="2" t="s">
        <v>30</v>
      </c>
      <c r="B57" s="5">
        <v>40966</v>
      </c>
      <c r="C57" s="5">
        <v>18111</v>
      </c>
      <c r="D57" s="5">
        <v>18103</v>
      </c>
      <c r="E57">
        <v>10.19</v>
      </c>
      <c r="F57" s="5">
        <f t="shared" si="0"/>
        <v>40966</v>
      </c>
      <c r="G57" s="2">
        <v>1</v>
      </c>
      <c r="H57">
        <v>40.200000000000003</v>
      </c>
      <c r="I57" s="5">
        <v>32808</v>
      </c>
      <c r="J57" s="9">
        <f t="shared" si="1"/>
        <v>0.24865886369178258</v>
      </c>
      <c r="K57" s="6">
        <v>1050.1199999999999</v>
      </c>
      <c r="L57" s="10">
        <v>1.2009266032674958E-2</v>
      </c>
      <c r="M57" s="10">
        <v>0.59171543525969272</v>
      </c>
      <c r="N57" s="8">
        <v>0.96629999999999994</v>
      </c>
    </row>
    <row r="58" spans="1:14" x14ac:dyDescent="0.35">
      <c r="A58" s="2" t="s">
        <v>61</v>
      </c>
      <c r="B58" s="5">
        <v>32414</v>
      </c>
      <c r="C58" s="5">
        <v>13128</v>
      </c>
      <c r="D58" s="5">
        <v>13118</v>
      </c>
      <c r="E58">
        <v>12.18</v>
      </c>
      <c r="F58" s="5">
        <f t="shared" si="0"/>
        <v>32414</v>
      </c>
      <c r="G58" s="2">
        <v>1</v>
      </c>
      <c r="H58">
        <v>26.62</v>
      </c>
      <c r="I58" s="5">
        <v>31572</v>
      </c>
      <c r="J58" s="9">
        <f t="shared" si="1"/>
        <v>2.666920055745603E-2</v>
      </c>
      <c r="K58" s="6">
        <v>1652.46</v>
      </c>
      <c r="L58" s="10">
        <v>6.2397060686684401E-3</v>
      </c>
      <c r="M58" s="10">
        <v>0.55036107943747625</v>
      </c>
      <c r="N58" s="8">
        <v>0.97540000000000004</v>
      </c>
    </row>
    <row r="59" spans="1:14" x14ac:dyDescent="0.35">
      <c r="A59" s="2" t="s">
        <v>57</v>
      </c>
      <c r="B59" s="5">
        <v>10970</v>
      </c>
      <c r="C59" s="5">
        <v>4821</v>
      </c>
      <c r="D59" s="5">
        <v>4813</v>
      </c>
      <c r="E59">
        <v>2.1</v>
      </c>
      <c r="F59" s="5">
        <f t="shared" si="0"/>
        <v>10970</v>
      </c>
      <c r="G59" s="2">
        <v>1</v>
      </c>
      <c r="H59">
        <v>52.13</v>
      </c>
      <c r="I59" s="5">
        <v>12075</v>
      </c>
      <c r="J59" s="9">
        <f t="shared" si="1"/>
        <v>-9.1511387163561109E-2</v>
      </c>
      <c r="K59" s="6">
        <v>1462.02</v>
      </c>
      <c r="L59" s="10">
        <v>9.4409937888198757E-3</v>
      </c>
      <c r="M59" s="10">
        <v>0.59238095238095234</v>
      </c>
      <c r="N59" s="8">
        <v>0.96589999999999998</v>
      </c>
    </row>
    <row r="60" spans="1:14" x14ac:dyDescent="0.35">
      <c r="A60" s="2" t="s">
        <v>67</v>
      </c>
      <c r="B60" s="5">
        <v>6781</v>
      </c>
      <c r="C60" s="5">
        <v>2796</v>
      </c>
      <c r="D60" s="5">
        <v>2785</v>
      </c>
      <c r="E60">
        <v>3.36</v>
      </c>
      <c r="F60" s="5">
        <f t="shared" si="0"/>
        <v>6781</v>
      </c>
      <c r="G60" s="2">
        <v>1</v>
      </c>
      <c r="H60">
        <v>20.190000000000001</v>
      </c>
      <c r="I60" s="5">
        <v>6494</v>
      </c>
      <c r="J60" s="9">
        <f t="shared" si="1"/>
        <v>4.4194641207268237E-2</v>
      </c>
      <c r="K60" s="6">
        <v>1785.67</v>
      </c>
      <c r="L60" s="10">
        <v>7.8534031413612562E-3</v>
      </c>
      <c r="M60" s="10">
        <v>0.54511857098860483</v>
      </c>
      <c r="N60" s="8">
        <v>0.98269999999999991</v>
      </c>
    </row>
    <row r="61" spans="1:14" x14ac:dyDescent="0.35">
      <c r="A61" s="2" t="s">
        <v>68</v>
      </c>
      <c r="B61" s="5">
        <v>23547</v>
      </c>
      <c r="C61" s="5">
        <v>9248</v>
      </c>
      <c r="D61" s="5">
        <v>9240</v>
      </c>
      <c r="E61">
        <v>5.0599999999999996</v>
      </c>
      <c r="F61" s="5">
        <f t="shared" si="0"/>
        <v>23547</v>
      </c>
      <c r="G61" s="2">
        <v>1</v>
      </c>
      <c r="H61">
        <v>46.53</v>
      </c>
      <c r="I61" s="5">
        <v>23559</v>
      </c>
      <c r="J61" s="9">
        <f t="shared" si="1"/>
        <v>-5.0935948045327528E-4</v>
      </c>
      <c r="K61" s="6">
        <v>1341.31</v>
      </c>
      <c r="L61" s="10">
        <v>7.2583725964599517E-3</v>
      </c>
      <c r="M61" s="10">
        <v>0.57697695148350947</v>
      </c>
      <c r="N61" s="8">
        <v>0.97049999999999992</v>
      </c>
    </row>
    <row r="62" spans="1:14" x14ac:dyDescent="0.35">
      <c r="A62" s="2" t="s">
        <v>21</v>
      </c>
      <c r="B62" s="5">
        <v>5008</v>
      </c>
      <c r="C62" s="5">
        <v>3298</v>
      </c>
      <c r="D62" s="5">
        <v>3284</v>
      </c>
      <c r="E62">
        <v>1.35</v>
      </c>
      <c r="F62" s="5">
        <f t="shared" si="0"/>
        <v>5008</v>
      </c>
      <c r="G62" s="2">
        <v>1</v>
      </c>
      <c r="H62">
        <v>36.97</v>
      </c>
      <c r="I62" s="5">
        <v>6130</v>
      </c>
      <c r="J62" s="9">
        <f t="shared" si="1"/>
        <v>-0.18303425774877646</v>
      </c>
      <c r="K62" s="6">
        <v>2234.31</v>
      </c>
      <c r="L62" s="10">
        <v>3.5889070146818925E-3</v>
      </c>
      <c r="M62" s="10">
        <v>0.64388254486133767</v>
      </c>
      <c r="N62" s="8">
        <v>0.99120000000000008</v>
      </c>
    </row>
    <row r="63" spans="1:14" x14ac:dyDescent="0.35">
      <c r="A63" s="2" t="s">
        <v>69</v>
      </c>
      <c r="B63" s="5">
        <v>3277</v>
      </c>
      <c r="C63" s="5">
        <v>1299</v>
      </c>
      <c r="D63" s="5">
        <v>1299</v>
      </c>
      <c r="E63">
        <v>3.04</v>
      </c>
      <c r="F63" s="5">
        <f t="shared" si="0"/>
        <v>3277</v>
      </c>
      <c r="G63" s="2">
        <v>1</v>
      </c>
      <c r="H63">
        <v>10.79</v>
      </c>
      <c r="I63" s="5">
        <v>3253</v>
      </c>
      <c r="J63" s="9">
        <f t="shared" si="1"/>
        <v>7.3778051029818048E-3</v>
      </c>
      <c r="K63" s="6">
        <v>1816.3</v>
      </c>
      <c r="L63" s="10">
        <v>7.3778051029818629E-3</v>
      </c>
      <c r="M63" s="10">
        <v>0.55118352290193673</v>
      </c>
      <c r="N63" s="8">
        <v>0.96420000000000006</v>
      </c>
    </row>
    <row r="64" spans="1:14" x14ac:dyDescent="0.35">
      <c r="A64" s="2" t="s">
        <v>31</v>
      </c>
      <c r="B64" s="5">
        <v>6034</v>
      </c>
      <c r="C64" s="5">
        <v>2529</v>
      </c>
      <c r="D64" s="5">
        <v>2525</v>
      </c>
      <c r="E64">
        <v>2.27</v>
      </c>
      <c r="F64" s="5">
        <f t="shared" si="0"/>
        <v>6034</v>
      </c>
      <c r="G64" s="2">
        <v>1</v>
      </c>
      <c r="H64">
        <v>26.53</v>
      </c>
      <c r="I64" s="5">
        <v>6276</v>
      </c>
      <c r="J64" s="9">
        <f t="shared" si="1"/>
        <v>-3.8559592096876982E-2</v>
      </c>
      <c r="K64" s="6">
        <v>2599.6</v>
      </c>
      <c r="L64" s="10">
        <v>5.7361376673040155E-3</v>
      </c>
      <c r="M64" s="10">
        <v>0.53457616316124923</v>
      </c>
      <c r="N64" s="8">
        <v>0.98780000000000001</v>
      </c>
    </row>
    <row r="65" spans="1:14" x14ac:dyDescent="0.35">
      <c r="A65" s="2" t="s">
        <v>75</v>
      </c>
      <c r="B65" s="5">
        <v>6689</v>
      </c>
      <c r="C65" s="5">
        <v>2568</v>
      </c>
      <c r="D65" s="5">
        <v>2567</v>
      </c>
      <c r="E65">
        <v>7.45</v>
      </c>
      <c r="F65" s="5">
        <f t="shared" si="0"/>
        <v>6689</v>
      </c>
      <c r="G65" s="2">
        <v>1</v>
      </c>
      <c r="H65">
        <v>8.98</v>
      </c>
      <c r="I65" s="5">
        <v>4773</v>
      </c>
      <c r="J65" s="9">
        <f t="shared" si="1"/>
        <v>0.40142468049444791</v>
      </c>
      <c r="K65">
        <v>578</v>
      </c>
      <c r="L65" s="10">
        <v>2.870312172637754E-2</v>
      </c>
      <c r="M65" s="10">
        <v>0.5237795935470354</v>
      </c>
      <c r="N65" s="8">
        <v>0.92400000000000004</v>
      </c>
    </row>
    <row r="66" spans="1:14" x14ac:dyDescent="0.35">
      <c r="A66" s="2" t="s">
        <v>58</v>
      </c>
      <c r="B66" s="5">
        <v>5720</v>
      </c>
      <c r="C66" s="5">
        <v>2791</v>
      </c>
      <c r="D66" s="5">
        <v>2787</v>
      </c>
      <c r="E66">
        <v>2.12</v>
      </c>
      <c r="F66" s="5">
        <f t="shared" si="0"/>
        <v>5720</v>
      </c>
      <c r="G66" s="2">
        <v>1</v>
      </c>
      <c r="H66">
        <v>26.93</v>
      </c>
      <c r="I66" s="5">
        <v>6851</v>
      </c>
      <c r="J66" s="9">
        <f t="shared" si="1"/>
        <v>-0.16508538899430736</v>
      </c>
      <c r="K66" s="6">
        <v>3088.78</v>
      </c>
      <c r="L66" s="10">
        <v>2.7733177638300977E-3</v>
      </c>
      <c r="M66" s="10">
        <v>0.54853306086702669</v>
      </c>
      <c r="N66" s="8">
        <v>0.98919999999999997</v>
      </c>
    </row>
    <row r="67" spans="1:14" x14ac:dyDescent="0.35">
      <c r="A67" s="2" t="s">
        <v>78</v>
      </c>
      <c r="B67" s="5">
        <v>102293</v>
      </c>
      <c r="C67" s="5">
        <v>40224</v>
      </c>
      <c r="D67" s="5">
        <v>40217</v>
      </c>
      <c r="E67">
        <v>11.2</v>
      </c>
      <c r="F67" s="5">
        <f t="shared" ref="F67:F76" si="2">B67</f>
        <v>102293</v>
      </c>
      <c r="G67" s="2">
        <v>1</v>
      </c>
      <c r="H67">
        <v>91.34</v>
      </c>
      <c r="I67" s="5">
        <v>115525</v>
      </c>
      <c r="J67" s="9">
        <f t="shared" ref="J67:J76" si="3">((B67*1)/I67)-1</f>
        <v>-0.11453797879246919</v>
      </c>
      <c r="K67">
        <v>726.28</v>
      </c>
      <c r="L67" s="10">
        <v>1.2906297338238476E-2</v>
      </c>
      <c r="M67" s="10">
        <v>0.56214672148885525</v>
      </c>
      <c r="N67" s="8">
        <v>0.9556</v>
      </c>
    </row>
    <row r="68" spans="1:14" x14ac:dyDescent="0.35">
      <c r="A68" s="2" t="s">
        <v>32</v>
      </c>
      <c r="B68" s="5">
        <v>3470</v>
      </c>
      <c r="C68" s="5">
        <v>1430</v>
      </c>
      <c r="D68" s="5">
        <v>1427</v>
      </c>
      <c r="E68">
        <v>1.83</v>
      </c>
      <c r="F68" s="5">
        <f t="shared" si="2"/>
        <v>3470</v>
      </c>
      <c r="G68" s="2">
        <v>1</v>
      </c>
      <c r="H68">
        <v>18.989999999999998</v>
      </c>
      <c r="I68" s="5">
        <v>3396</v>
      </c>
      <c r="J68" s="9">
        <f t="shared" si="3"/>
        <v>2.1790341578327377E-2</v>
      </c>
      <c r="K68" s="6">
        <v>1381.97</v>
      </c>
      <c r="L68" s="10">
        <v>1.0895170789163721E-2</v>
      </c>
      <c r="M68" s="10">
        <v>0.59305064782096584</v>
      </c>
      <c r="N68" s="8">
        <v>0.95900000000000007</v>
      </c>
    </row>
    <row r="69" spans="1:14" x14ac:dyDescent="0.35">
      <c r="A69" s="2" t="s">
        <v>39</v>
      </c>
      <c r="B69" s="5">
        <v>7073</v>
      </c>
      <c r="C69" s="5">
        <v>2930</v>
      </c>
      <c r="D69" s="5">
        <v>2925</v>
      </c>
      <c r="E69">
        <v>4.17</v>
      </c>
      <c r="F69" s="5">
        <f t="shared" si="2"/>
        <v>7073</v>
      </c>
      <c r="G69" s="2">
        <v>1</v>
      </c>
      <c r="H69">
        <v>16.96</v>
      </c>
      <c r="I69" s="5">
        <v>8072</v>
      </c>
      <c r="J69" s="9">
        <f t="shared" si="3"/>
        <v>-0.1237611496531219</v>
      </c>
      <c r="K69" s="6">
        <v>2100.23</v>
      </c>
      <c r="L69" s="10">
        <v>5.4509415262636272E-3</v>
      </c>
      <c r="M69" s="10">
        <v>0.55413776015857286</v>
      </c>
      <c r="N69" s="8">
        <v>0.97760000000000002</v>
      </c>
    </row>
    <row r="70" spans="1:14" x14ac:dyDescent="0.35">
      <c r="A70" s="2" t="s">
        <v>81</v>
      </c>
      <c r="B70" s="5">
        <v>56054</v>
      </c>
      <c r="C70" s="5">
        <v>22301</v>
      </c>
      <c r="D70" s="5">
        <v>22294</v>
      </c>
      <c r="E70">
        <v>11.23</v>
      </c>
      <c r="F70" s="5">
        <f t="shared" si="2"/>
        <v>56054</v>
      </c>
      <c r="G70" s="2">
        <v>1</v>
      </c>
      <c r="H70">
        <v>49.89</v>
      </c>
      <c r="I70" s="5">
        <v>52780</v>
      </c>
      <c r="J70" s="9">
        <f t="shared" si="3"/>
        <v>6.2031072375899887E-2</v>
      </c>
      <c r="K70">
        <v>590.05999999999995</v>
      </c>
      <c r="L70" s="10">
        <v>1.4797271693823418E-2</v>
      </c>
      <c r="M70" s="10">
        <v>0.51756347101174682</v>
      </c>
      <c r="N70" s="8">
        <v>0.92859999999999998</v>
      </c>
    </row>
    <row r="71" spans="1:14" x14ac:dyDescent="0.35">
      <c r="A71" s="2" t="s">
        <v>33</v>
      </c>
      <c r="B71" s="5">
        <v>12203</v>
      </c>
      <c r="C71" s="5">
        <v>5682</v>
      </c>
      <c r="D71" s="5">
        <v>5669</v>
      </c>
      <c r="E71">
        <v>2.15</v>
      </c>
      <c r="F71" s="5">
        <f t="shared" si="2"/>
        <v>12203</v>
      </c>
      <c r="G71" s="2">
        <v>1</v>
      </c>
      <c r="H71">
        <v>56.72</v>
      </c>
      <c r="I71" s="5">
        <v>12319</v>
      </c>
      <c r="J71" s="9">
        <f t="shared" si="3"/>
        <v>-9.4163487296047288E-3</v>
      </c>
      <c r="K71" s="6">
        <v>1370.39</v>
      </c>
      <c r="L71" s="10">
        <v>5.2764023053819302E-3</v>
      </c>
      <c r="M71" s="10">
        <v>0.60540628297751442</v>
      </c>
      <c r="N71" s="8">
        <v>0.98030000000000006</v>
      </c>
    </row>
    <row r="72" spans="1:14" x14ac:dyDescent="0.35">
      <c r="A72" s="2" t="s">
        <v>38</v>
      </c>
      <c r="B72" s="5">
        <v>73241</v>
      </c>
      <c r="C72" s="5">
        <v>28946</v>
      </c>
      <c r="D72" s="5">
        <v>28926</v>
      </c>
      <c r="E72">
        <v>14.34</v>
      </c>
      <c r="F72" s="5">
        <f t="shared" si="2"/>
        <v>73241</v>
      </c>
      <c r="G72" s="2">
        <v>1</v>
      </c>
      <c r="H72">
        <v>51.09</v>
      </c>
      <c r="I72" s="5">
        <v>72056</v>
      </c>
      <c r="J72" s="9">
        <f t="shared" si="3"/>
        <v>1.6445542355945308E-2</v>
      </c>
      <c r="K72" s="6">
        <v>1101.82</v>
      </c>
      <c r="L72" s="10">
        <v>1.2559675807705117E-2</v>
      </c>
      <c r="M72" s="10">
        <v>0.54465970911513273</v>
      </c>
      <c r="N72" s="8">
        <v>0.96489999999999998</v>
      </c>
    </row>
    <row r="73" spans="1:14" x14ac:dyDescent="0.35">
      <c r="A73" s="2" t="s">
        <v>79</v>
      </c>
      <c r="B73" s="5">
        <v>21969</v>
      </c>
      <c r="C73" s="5">
        <v>8445</v>
      </c>
      <c r="D73" s="5">
        <v>8442</v>
      </c>
      <c r="E73">
        <v>22.24</v>
      </c>
      <c r="F73" s="5">
        <f t="shared" si="2"/>
        <v>21969</v>
      </c>
      <c r="G73" s="2">
        <v>1</v>
      </c>
      <c r="H73">
        <v>9.8800000000000008</v>
      </c>
      <c r="I73" s="5">
        <v>18730</v>
      </c>
      <c r="J73" s="9">
        <f t="shared" si="3"/>
        <v>0.17293112653497067</v>
      </c>
      <c r="K73">
        <v>762.65</v>
      </c>
      <c r="L73" s="10">
        <v>1.0945008008542445E-2</v>
      </c>
      <c r="M73" s="10">
        <v>0.53358248798718633</v>
      </c>
      <c r="N73" s="8">
        <v>0.95629999999999993</v>
      </c>
    </row>
    <row r="74" spans="1:14" x14ac:dyDescent="0.35">
      <c r="A74" s="2" t="s">
        <v>59</v>
      </c>
      <c r="B74" s="5">
        <v>12859</v>
      </c>
      <c r="C74" s="5">
        <v>7471</v>
      </c>
      <c r="D74" s="5">
        <v>7469</v>
      </c>
      <c r="E74">
        <v>1.22</v>
      </c>
      <c r="F74" s="5">
        <f t="shared" si="2"/>
        <v>12859</v>
      </c>
      <c r="G74" s="2">
        <v>1</v>
      </c>
      <c r="H74">
        <v>105.7</v>
      </c>
      <c r="I74" s="5">
        <v>11610</v>
      </c>
      <c r="J74" s="9">
        <f t="shared" si="3"/>
        <v>0.1075796726959517</v>
      </c>
      <c r="K74" s="6">
        <v>2467.2199999999998</v>
      </c>
      <c r="L74" s="10">
        <v>2.2394487510766581E-3</v>
      </c>
      <c r="M74" s="10">
        <v>0.5488372093023256</v>
      </c>
      <c r="N74" s="8">
        <v>0.98849999999999993</v>
      </c>
    </row>
    <row r="75" spans="1:14" x14ac:dyDescent="0.35">
      <c r="A75" s="2" t="s">
        <v>70</v>
      </c>
      <c r="B75" s="5">
        <v>10790</v>
      </c>
      <c r="C75" s="5">
        <v>4682</v>
      </c>
      <c r="D75" s="5">
        <v>4673</v>
      </c>
      <c r="E75">
        <v>3.7</v>
      </c>
      <c r="F75" s="5">
        <f t="shared" si="2"/>
        <v>10790</v>
      </c>
      <c r="G75" s="2">
        <v>1</v>
      </c>
      <c r="H75">
        <v>29.17</v>
      </c>
      <c r="I75" s="5">
        <v>11199</v>
      </c>
      <c r="J75" s="9">
        <f t="shared" si="3"/>
        <v>-3.6521117956960447E-2</v>
      </c>
      <c r="K75" s="6">
        <v>2036.11</v>
      </c>
      <c r="L75" s="10">
        <v>6.2505580855433517E-3</v>
      </c>
      <c r="M75" s="10">
        <v>0.53397624787927489</v>
      </c>
      <c r="N75" s="8">
        <v>0.98129999999999995</v>
      </c>
    </row>
    <row r="76" spans="1:14" x14ac:dyDescent="0.35">
      <c r="A76" s="2" t="s">
        <v>43</v>
      </c>
      <c r="B76" s="5">
        <v>58124</v>
      </c>
      <c r="C76" s="5">
        <v>22996</v>
      </c>
      <c r="D76" s="5">
        <v>22974</v>
      </c>
      <c r="E76">
        <v>9.09</v>
      </c>
      <c r="F76" s="5">
        <f t="shared" si="2"/>
        <v>58124</v>
      </c>
      <c r="G76" s="2">
        <v>1</v>
      </c>
      <c r="H76">
        <v>63.98</v>
      </c>
      <c r="I76" s="5">
        <v>57182</v>
      </c>
      <c r="J76" s="9">
        <f t="shared" si="3"/>
        <v>1.6473715504879083E-2</v>
      </c>
      <c r="K76" s="6">
        <v>1040.56</v>
      </c>
      <c r="L76" s="10">
        <v>8.5166660837326432E-3</v>
      </c>
      <c r="M76" s="10">
        <v>0.56633206253716206</v>
      </c>
      <c r="N76" s="8">
        <v>0.96930000000000005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48" customWidth="1"/>
    <col min="2" max="2" width="70" customWidth="1"/>
    <col min="3" max="3" width="55" customWidth="1"/>
  </cols>
  <sheetData>
    <row r="1" spans="1:3" x14ac:dyDescent="0.35">
      <c r="A1" s="1" t="s">
        <v>131</v>
      </c>
      <c r="B1" s="1" t="s">
        <v>132</v>
      </c>
      <c r="C1" s="1" t="s">
        <v>2</v>
      </c>
    </row>
    <row r="2" spans="1:3" ht="29" x14ac:dyDescent="0.35">
      <c r="A2" s="3" t="s">
        <v>83</v>
      </c>
      <c r="B2" s="4" t="s">
        <v>84</v>
      </c>
      <c r="C2" s="3" t="s">
        <v>85</v>
      </c>
    </row>
    <row r="3" spans="1:3" ht="29" x14ac:dyDescent="0.35">
      <c r="A3" s="3" t="s">
        <v>86</v>
      </c>
      <c r="B3" s="3" t="s">
        <v>87</v>
      </c>
      <c r="C3" s="3" t="s">
        <v>88</v>
      </c>
    </row>
    <row r="4" spans="1:3" x14ac:dyDescent="0.35">
      <c r="A4" s="3" t="s">
        <v>89</v>
      </c>
      <c r="B4" s="3" t="s">
        <v>90</v>
      </c>
      <c r="C4" s="3" t="s">
        <v>91</v>
      </c>
    </row>
    <row r="5" spans="1:3" ht="29" x14ac:dyDescent="0.35">
      <c r="A5" s="3" t="s">
        <v>92</v>
      </c>
      <c r="B5" s="3" t="s">
        <v>93</v>
      </c>
      <c r="C5" s="3" t="s">
        <v>94</v>
      </c>
    </row>
    <row r="6" spans="1:3" ht="29" x14ac:dyDescent="0.35">
      <c r="A6" s="3" t="s">
        <v>95</v>
      </c>
      <c r="B6" s="3" t="s">
        <v>96</v>
      </c>
      <c r="C6" s="3" t="s">
        <v>97</v>
      </c>
    </row>
    <row r="7" spans="1:3" ht="29" x14ac:dyDescent="0.35">
      <c r="A7" s="3" t="s">
        <v>98</v>
      </c>
      <c r="B7" s="3" t="s">
        <v>99</v>
      </c>
      <c r="C7" s="3" t="s">
        <v>100</v>
      </c>
    </row>
  </sheetData>
  <autoFilter ref="A1:C7" xr:uid="{00000000-0009-0000-0000-000002000000}"/>
  <hyperlinks>
    <hyperlink ref="B2" r:id="rId1" xr:uid="{8C1E31AF-BCDD-4C6E-BB79-64C9EEE94EB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Neighborhoods_75</vt:lpstr>
      <vt:lpstr>Indices</vt:lpstr>
      <vt:lpstr>Data</vt:lpstr>
      <vt:lpstr>Links_and_sources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Salamuni</cp:lastModifiedBy>
  <dcterms:created xsi:type="dcterms:W3CDTF">2025-12-19T17:18:58Z</dcterms:created>
  <dcterms:modified xsi:type="dcterms:W3CDTF">2025-12-20T18:05:46Z</dcterms:modified>
</cp:coreProperties>
</file>